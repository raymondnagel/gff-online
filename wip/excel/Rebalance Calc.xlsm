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FF Online\gff-online\wip\excel\"/>
    </mc:Choice>
  </mc:AlternateContent>
  <xr:revisionPtr revIDLastSave="0" documentId="13_ncr:1_{D7DF4CD1-8939-4899-B1E9-4C20C5CA37B9}" xr6:coauthVersionLast="47" xr6:coauthVersionMax="47" xr10:uidLastSave="{00000000-0000-0000-0000-000000000000}"/>
  <bookViews>
    <workbookView xWindow="-120" yWindow="-120" windowWidth="57840" windowHeight="15720" xr2:uid="{4C484D45-17F8-412A-8BBB-3CBD29D10B9E}"/>
  </bookViews>
  <sheets>
    <sheet name="Game Balance" sheetId="1" r:id="rId1"/>
    <sheet name="Bosses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X20" i="1"/>
  <c r="X41" i="1"/>
  <c r="D94" i="2"/>
  <c r="E94" i="2" s="1"/>
  <c r="D95" i="2"/>
  <c r="E95" i="2"/>
  <c r="D96" i="2"/>
  <c r="E96" i="2"/>
  <c r="D97" i="2"/>
  <c r="E97" i="2"/>
  <c r="D98" i="2"/>
  <c r="E98" i="2"/>
  <c r="D99" i="2"/>
  <c r="E99" i="2" s="1"/>
  <c r="D100" i="2"/>
  <c r="E100" i="2"/>
  <c r="D93" i="2"/>
  <c r="E93" i="2"/>
  <c r="D92" i="2"/>
  <c r="E92" i="2"/>
  <c r="D79" i="2"/>
  <c r="E79" i="2"/>
  <c r="D80" i="2"/>
  <c r="E80" i="2"/>
  <c r="D81" i="2"/>
  <c r="E81" i="2"/>
  <c r="D82" i="2"/>
  <c r="E82" i="2"/>
  <c r="D83" i="2"/>
  <c r="E83" i="2"/>
  <c r="D84" i="2"/>
  <c r="E84" i="2" s="1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78" i="2"/>
  <c r="E78" i="2"/>
  <c r="D77" i="2"/>
  <c r="E77" i="2"/>
  <c r="D64" i="2"/>
  <c r="E64" i="2" s="1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 s="1"/>
  <c r="D75" i="2"/>
  <c r="E75" i="2"/>
  <c r="D76" i="2"/>
  <c r="E76" i="2"/>
  <c r="D63" i="2"/>
  <c r="E63" i="2"/>
  <c r="D62" i="2"/>
  <c r="E62" i="2"/>
  <c r="D49" i="2"/>
  <c r="E49" i="2" s="1"/>
  <c r="D50" i="2"/>
  <c r="E50" i="2" s="1"/>
  <c r="D51" i="2"/>
  <c r="E51" i="2"/>
  <c r="D52" i="2"/>
  <c r="E52" i="2"/>
  <c r="D53" i="2"/>
  <c r="E53" i="2"/>
  <c r="D54" i="2"/>
  <c r="E54" i="2" s="1"/>
  <c r="D55" i="2"/>
  <c r="E55" i="2"/>
  <c r="D56" i="2"/>
  <c r="E56" i="2"/>
  <c r="D57" i="2"/>
  <c r="E57" i="2"/>
  <c r="D58" i="2"/>
  <c r="E58" i="2"/>
  <c r="D59" i="2"/>
  <c r="E59" i="2" s="1"/>
  <c r="D60" i="2"/>
  <c r="E60" i="2" s="1"/>
  <c r="D61" i="2"/>
  <c r="E61" i="2"/>
  <c r="D48" i="2"/>
  <c r="E48" i="2" s="1"/>
  <c r="D47" i="2"/>
  <c r="E47" i="2" s="1"/>
  <c r="D34" i="2"/>
  <c r="E34" i="2"/>
  <c r="D35" i="2"/>
  <c r="E35" i="2"/>
  <c r="D36" i="2"/>
  <c r="E36" i="2"/>
  <c r="D37" i="2"/>
  <c r="E37" i="2" s="1"/>
  <c r="D38" i="2"/>
  <c r="E38" i="2"/>
  <c r="D39" i="2"/>
  <c r="E39" i="2"/>
  <c r="D40" i="2"/>
  <c r="E40" i="2"/>
  <c r="D41" i="2"/>
  <c r="E41" i="2"/>
  <c r="D42" i="2"/>
  <c r="E42" i="2" s="1"/>
  <c r="D43" i="2"/>
  <c r="E43" i="2"/>
  <c r="D44" i="2"/>
  <c r="E44" i="2"/>
  <c r="D45" i="2"/>
  <c r="E45" i="2"/>
  <c r="D46" i="2"/>
  <c r="E46" i="2"/>
  <c r="D33" i="2"/>
  <c r="E33" i="2"/>
  <c r="D32" i="2"/>
  <c r="E32" i="2"/>
  <c r="D19" i="2"/>
  <c r="E19" i="2"/>
  <c r="D20" i="2"/>
  <c r="E20" i="2"/>
  <c r="D21" i="2"/>
  <c r="E21" i="2"/>
  <c r="D22" i="2"/>
  <c r="E22" i="2" s="1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18" i="2"/>
  <c r="E18" i="2"/>
  <c r="D17" i="2"/>
  <c r="E17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2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3" i="2"/>
  <c r="D2" i="2"/>
  <c r="K4" i="1"/>
  <c r="N1" i="1"/>
  <c r="Z17" i="1" s="1"/>
  <c r="M1" i="1"/>
  <c r="X19" i="1" s="1"/>
  <c r="L1" i="1"/>
  <c r="Q13" i="1" s="1"/>
  <c r="AC52" i="1"/>
  <c r="AE52" i="1" s="1"/>
  <c r="AC51" i="1"/>
  <c r="AE51" i="1" s="1"/>
  <c r="AC50" i="1"/>
  <c r="AE50" i="1" s="1"/>
  <c r="AC49" i="1"/>
  <c r="AE49" i="1" s="1"/>
  <c r="AC48" i="1"/>
  <c r="AE48" i="1" s="1"/>
  <c r="AC47" i="1"/>
  <c r="AE47" i="1" s="1"/>
  <c r="AC46" i="1"/>
  <c r="AE46" i="1" s="1"/>
  <c r="AC45" i="1"/>
  <c r="AE45" i="1" s="1"/>
  <c r="AC44" i="1"/>
  <c r="AE44" i="1" s="1"/>
  <c r="AC43" i="1"/>
  <c r="AE43" i="1" s="1"/>
  <c r="AC42" i="1"/>
  <c r="AE42" i="1" s="1"/>
  <c r="AC41" i="1"/>
  <c r="AE41" i="1" s="1"/>
  <c r="AC40" i="1"/>
  <c r="AE40" i="1" s="1"/>
  <c r="AC39" i="1"/>
  <c r="AE39" i="1" s="1"/>
  <c r="AC38" i="1"/>
  <c r="AE38" i="1" s="1"/>
  <c r="AC37" i="1"/>
  <c r="AE37" i="1" s="1"/>
  <c r="AC36" i="1"/>
  <c r="AE36" i="1" s="1"/>
  <c r="AC35" i="1"/>
  <c r="AE35" i="1" s="1"/>
  <c r="AC34" i="1"/>
  <c r="AE34" i="1" s="1"/>
  <c r="AC33" i="1"/>
  <c r="AE33" i="1" s="1"/>
  <c r="AC32" i="1"/>
  <c r="AE32" i="1" s="1"/>
  <c r="AC31" i="1"/>
  <c r="AE31" i="1" s="1"/>
  <c r="AC30" i="1"/>
  <c r="AE30" i="1" s="1"/>
  <c r="AC29" i="1"/>
  <c r="AE29" i="1" s="1"/>
  <c r="AC28" i="1"/>
  <c r="AE28" i="1" s="1"/>
  <c r="AC27" i="1"/>
  <c r="AE27" i="1" s="1"/>
  <c r="AC26" i="1"/>
  <c r="AE26" i="1" s="1"/>
  <c r="AC25" i="1"/>
  <c r="AE25" i="1" s="1"/>
  <c r="AC24" i="1"/>
  <c r="AE24" i="1" s="1"/>
  <c r="AC23" i="1"/>
  <c r="AE23" i="1" s="1"/>
  <c r="AC22" i="1"/>
  <c r="AE22" i="1" s="1"/>
  <c r="AC21" i="1"/>
  <c r="AE21" i="1" s="1"/>
  <c r="AC20" i="1"/>
  <c r="AE20" i="1" s="1"/>
  <c r="AC19" i="1"/>
  <c r="AE19" i="1" s="1"/>
  <c r="AC18" i="1"/>
  <c r="AE18" i="1" s="1"/>
  <c r="AC17" i="1"/>
  <c r="AE17" i="1" s="1"/>
  <c r="AC16" i="1"/>
  <c r="AE16" i="1" s="1"/>
  <c r="AC15" i="1"/>
  <c r="AE15" i="1" s="1"/>
  <c r="AC14" i="1"/>
  <c r="AE14" i="1" s="1"/>
  <c r="AC13" i="1"/>
  <c r="AE13" i="1" s="1"/>
  <c r="AC12" i="1"/>
  <c r="AE12" i="1" s="1"/>
  <c r="AC11" i="1"/>
  <c r="AE11" i="1" s="1"/>
  <c r="AC10" i="1"/>
  <c r="AE10" i="1" s="1"/>
  <c r="AC9" i="1"/>
  <c r="AE9" i="1" s="1"/>
  <c r="AC8" i="1"/>
  <c r="AE8" i="1" s="1"/>
  <c r="AC7" i="1"/>
  <c r="AE7" i="1" s="1"/>
  <c r="AC6" i="1"/>
  <c r="AE6" i="1" s="1"/>
  <c r="AC5" i="1"/>
  <c r="AE5" i="1" s="1"/>
  <c r="AC4" i="1"/>
  <c r="AE4" i="1" s="1"/>
  <c r="AC3" i="1"/>
  <c r="AE3" i="1" s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3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3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4" i="1"/>
  <c r="X37" i="1" l="1"/>
  <c r="X16" i="1"/>
  <c r="X36" i="1"/>
  <c r="X15" i="1"/>
  <c r="X35" i="1"/>
  <c r="X14" i="1"/>
  <c r="X34" i="1"/>
  <c r="X13" i="1"/>
  <c r="X33" i="1"/>
  <c r="X12" i="1"/>
  <c r="X53" i="1"/>
  <c r="X32" i="1"/>
  <c r="X11" i="1"/>
  <c r="X52" i="1"/>
  <c r="X31" i="1"/>
  <c r="X10" i="1"/>
  <c r="X51" i="1"/>
  <c r="X30" i="1"/>
  <c r="X9" i="1"/>
  <c r="X17" i="1"/>
  <c r="X50" i="1"/>
  <c r="X8" i="1"/>
  <c r="X49" i="1"/>
  <c r="X28" i="1"/>
  <c r="X48" i="1"/>
  <c r="X6" i="1"/>
  <c r="X47" i="1"/>
  <c r="X26" i="1"/>
  <c r="X5" i="1"/>
  <c r="X46" i="1"/>
  <c r="X25" i="1"/>
  <c r="X4" i="1"/>
  <c r="X40" i="1"/>
  <c r="X18" i="1"/>
  <c r="X38" i="1"/>
  <c r="X29" i="1"/>
  <c r="X7" i="1"/>
  <c r="X27" i="1"/>
  <c r="X45" i="1"/>
  <c r="X24" i="1"/>
  <c r="X3" i="1"/>
  <c r="X44" i="1"/>
  <c r="X23" i="1"/>
  <c r="X43" i="1"/>
  <c r="X22" i="1"/>
  <c r="X42" i="1"/>
  <c r="X21" i="1"/>
  <c r="X39" i="1"/>
  <c r="Y13" i="1"/>
  <c r="Z3" i="1"/>
  <c r="Z53" i="1"/>
  <c r="Z52" i="1"/>
  <c r="Z11" i="1"/>
  <c r="Z50" i="1"/>
  <c r="Z30" i="1"/>
  <c r="Z10" i="1"/>
  <c r="Z49" i="1"/>
  <c r="Z29" i="1"/>
  <c r="Z9" i="1"/>
  <c r="Z48" i="1"/>
  <c r="Z28" i="1"/>
  <c r="Z8" i="1"/>
  <c r="Z47" i="1"/>
  <c r="Z27" i="1"/>
  <c r="Z7" i="1"/>
  <c r="Z46" i="1"/>
  <c r="Z26" i="1"/>
  <c r="Z6" i="1"/>
  <c r="Z45" i="1"/>
  <c r="Z25" i="1"/>
  <c r="Z5" i="1"/>
  <c r="Z44" i="1"/>
  <c r="Z24" i="1"/>
  <c r="Z4" i="1"/>
  <c r="Z43" i="1"/>
  <c r="Z23" i="1"/>
  <c r="Z36" i="1"/>
  <c r="Z35" i="1"/>
  <c r="Z34" i="1"/>
  <c r="Z13" i="1"/>
  <c r="Z32" i="1"/>
  <c r="Z31" i="1"/>
  <c r="Z22" i="1"/>
  <c r="Z41" i="1"/>
  <c r="Z21" i="1"/>
  <c r="Z40" i="1"/>
  <c r="Z20" i="1"/>
  <c r="Z39" i="1"/>
  <c r="Z19" i="1"/>
  <c r="Z16" i="1"/>
  <c r="Z15" i="1"/>
  <c r="Z14" i="1"/>
  <c r="Z33" i="1"/>
  <c r="Z12" i="1"/>
  <c r="Z51" i="1"/>
  <c r="Z42" i="1"/>
  <c r="Z38" i="1"/>
  <c r="Z18" i="1"/>
  <c r="Z37" i="1"/>
  <c r="Q10" i="1"/>
  <c r="Q28" i="1"/>
  <c r="Q27" i="1"/>
  <c r="Q26" i="1"/>
  <c r="Q12" i="1"/>
  <c r="Q9" i="1"/>
  <c r="Q8" i="1"/>
  <c r="Q7" i="1"/>
  <c r="Q52" i="1"/>
  <c r="Q6" i="1"/>
  <c r="Q51" i="1"/>
  <c r="Q50" i="1"/>
  <c r="Q49" i="1"/>
  <c r="Q48" i="1"/>
  <c r="Q47" i="1"/>
  <c r="Q46" i="1"/>
  <c r="Q32" i="1"/>
  <c r="Q31" i="1"/>
  <c r="Q30" i="1"/>
  <c r="Q29" i="1"/>
  <c r="Q11" i="1"/>
  <c r="Q45" i="1"/>
  <c r="Q25" i="1"/>
  <c r="Q5" i="1"/>
  <c r="Q44" i="1"/>
  <c r="Q24" i="1"/>
  <c r="Q4" i="1"/>
  <c r="Q43" i="1"/>
  <c r="Q23" i="1"/>
  <c r="Q42" i="1"/>
  <c r="Q22" i="1"/>
  <c r="Q41" i="1"/>
  <c r="Q21" i="1"/>
  <c r="Q40" i="1"/>
  <c r="Q20" i="1"/>
  <c r="Q39" i="1"/>
  <c r="Q19" i="1"/>
  <c r="Q38" i="1"/>
  <c r="Q18" i="1"/>
  <c r="Q37" i="1"/>
  <c r="Q17" i="1"/>
  <c r="Q36" i="1"/>
  <c r="Q16" i="1"/>
  <c r="Q35" i="1"/>
  <c r="Q15" i="1"/>
  <c r="Q3" i="1"/>
  <c r="Q34" i="1"/>
  <c r="Q14" i="1"/>
  <c r="Q53" i="1"/>
  <c r="Q33" i="1"/>
  <c r="AF3" i="1"/>
  <c r="AF4" i="1"/>
  <c r="P48" i="1"/>
  <c r="P47" i="1"/>
  <c r="P7" i="1"/>
  <c r="P46" i="1"/>
  <c r="P26" i="1"/>
  <c r="P6" i="1"/>
  <c r="P18" i="1"/>
  <c r="P28" i="1"/>
  <c r="P8" i="1"/>
  <c r="P27" i="1"/>
  <c r="P4" i="1"/>
  <c r="P45" i="1"/>
  <c r="P25" i="1"/>
  <c r="P5" i="1"/>
  <c r="P44" i="1"/>
  <c r="P24" i="1"/>
  <c r="P50" i="1"/>
  <c r="P30" i="1"/>
  <c r="P10" i="1"/>
  <c r="P49" i="1"/>
  <c r="P29" i="1"/>
  <c r="P9" i="1"/>
  <c r="P52" i="1"/>
  <c r="P32" i="1"/>
  <c r="P12" i="1"/>
  <c r="P51" i="1"/>
  <c r="P31" i="1"/>
  <c r="P11" i="1"/>
  <c r="P22" i="1"/>
  <c r="P41" i="1"/>
  <c r="P40" i="1"/>
  <c r="P20" i="1"/>
  <c r="P19" i="1"/>
  <c r="P37" i="1"/>
  <c r="P36" i="1"/>
  <c r="P17" i="1"/>
  <c r="P42" i="1"/>
  <c r="P21" i="1"/>
  <c r="P39" i="1"/>
  <c r="P38" i="1"/>
  <c r="P16" i="1"/>
  <c r="P35" i="1"/>
  <c r="P15" i="1"/>
  <c r="P34" i="1"/>
  <c r="P14" i="1"/>
  <c r="P43" i="1"/>
  <c r="P23" i="1"/>
  <c r="P53" i="1"/>
  <c r="P33" i="1"/>
  <c r="P13" i="1"/>
  <c r="P3" i="1"/>
  <c r="Y3" i="1" l="1"/>
  <c r="Y9" i="1"/>
  <c r="Y35" i="1"/>
  <c r="Y16" i="1"/>
  <c r="Y28" i="1"/>
  <c r="Y37" i="1"/>
  <c r="Y38" i="1"/>
  <c r="Y47" i="1"/>
  <c r="Y49" i="1"/>
  <c r="Y6" i="1"/>
  <c r="AA29" i="1"/>
  <c r="AA38" i="1"/>
  <c r="AA49" i="1"/>
  <c r="AA44" i="1"/>
  <c r="AA10" i="1"/>
  <c r="AA53" i="1"/>
  <c r="AA16" i="1"/>
  <c r="AA11" i="1"/>
  <c r="AA21" i="1"/>
  <c r="Y19" i="1"/>
  <c r="Y42" i="1"/>
  <c r="Y32" i="1"/>
  <c r="Y4" i="1"/>
  <c r="Y5" i="1"/>
  <c r="AA23" i="1"/>
  <c r="AA22" i="1"/>
  <c r="AA43" i="1"/>
  <c r="AA7" i="1"/>
  <c r="AA40" i="1"/>
  <c r="AA8" i="1"/>
  <c r="AA28" i="1"/>
  <c r="AA51" i="1"/>
  <c r="AA18" i="1"/>
  <c r="AA48" i="1"/>
  <c r="AA50" i="1"/>
  <c r="AA37" i="1"/>
  <c r="AA30" i="1"/>
  <c r="AA4" i="1"/>
  <c r="AA24" i="1"/>
  <c r="AA36" i="1"/>
  <c r="AA31" i="1"/>
  <c r="AA47" i="1"/>
  <c r="AA27" i="1"/>
  <c r="AA20" i="1"/>
  <c r="AA12" i="1"/>
  <c r="AA39" i="1"/>
  <c r="AA46" i="1"/>
  <c r="AA42" i="1"/>
  <c r="AA25" i="1"/>
  <c r="AA45" i="1"/>
  <c r="AA17" i="1"/>
  <c r="AA3" i="1"/>
  <c r="AA41" i="1"/>
  <c r="AA14" i="1"/>
  <c r="AA32" i="1"/>
  <c r="AA6" i="1"/>
  <c r="AA34" i="1"/>
  <c r="AA15" i="1"/>
  <c r="AA26" i="1"/>
  <c r="AA5" i="1"/>
  <c r="AA19" i="1"/>
  <c r="AA35" i="1"/>
  <c r="AA9" i="1"/>
  <c r="AA13" i="1"/>
  <c r="AA33" i="1"/>
  <c r="AA52" i="1"/>
  <c r="AF5" i="1"/>
  <c r="Y8" i="1" l="1"/>
  <c r="Y40" i="1"/>
  <c r="Y17" i="1"/>
  <c r="Y46" i="1"/>
  <c r="Y31" i="1"/>
  <c r="Y33" i="1"/>
  <c r="Y29" i="1"/>
  <c r="Y44" i="1"/>
  <c r="Y36" i="1"/>
  <c r="Y51" i="1"/>
  <c r="Y22" i="1"/>
  <c r="Y15" i="1"/>
  <c r="Y27" i="1"/>
  <c r="Y24" i="1"/>
  <c r="Y25" i="1"/>
  <c r="Y26" i="1"/>
  <c r="Y48" i="1"/>
  <c r="Y52" i="1"/>
  <c r="Y45" i="1"/>
  <c r="Y10" i="1"/>
  <c r="Y11" i="1"/>
  <c r="Y50" i="1"/>
  <c r="Y41" i="1"/>
  <c r="Y12" i="1"/>
  <c r="Y21" i="1"/>
  <c r="Y7" i="1"/>
  <c r="Y30" i="1"/>
  <c r="Y39" i="1"/>
  <c r="Y43" i="1"/>
  <c r="Y14" i="1"/>
  <c r="Y34" i="1"/>
  <c r="Y53" i="1"/>
  <c r="Y18" i="1"/>
  <c r="Y20" i="1"/>
  <c r="Y23" i="1"/>
  <c r="AF6" i="1"/>
  <c r="AF7" i="1" l="1"/>
  <c r="AF8" i="1" l="1"/>
  <c r="AF9" i="1" l="1"/>
  <c r="AF10" i="1" l="1"/>
  <c r="AF11" i="1" l="1"/>
  <c r="AF12" i="1" l="1"/>
  <c r="AF13" i="1" l="1"/>
  <c r="AF14" i="1" l="1"/>
  <c r="AF15" i="1" l="1"/>
  <c r="AF16" i="1" l="1"/>
  <c r="AF17" i="1" l="1"/>
  <c r="AF18" i="1" l="1"/>
  <c r="AF19" i="1" l="1"/>
  <c r="AF20" i="1" l="1"/>
  <c r="AF21" i="1" l="1"/>
  <c r="AF22" i="1" l="1"/>
  <c r="AF23" i="1" l="1"/>
  <c r="AF24" i="1" l="1"/>
  <c r="AF25" i="1" l="1"/>
  <c r="AF26" i="1" l="1"/>
  <c r="AF27" i="1" l="1"/>
  <c r="AF28" i="1" l="1"/>
  <c r="AF29" i="1" l="1"/>
  <c r="AF30" i="1" l="1"/>
  <c r="AF31" i="1" l="1"/>
  <c r="AF32" i="1" l="1"/>
  <c r="AF33" i="1" l="1"/>
  <c r="AF34" i="1" l="1"/>
  <c r="AF35" i="1" l="1"/>
  <c r="AF36" i="1" l="1"/>
  <c r="AF37" i="1" l="1"/>
  <c r="AF38" i="1" l="1"/>
  <c r="AF39" i="1" l="1"/>
  <c r="AF40" i="1" l="1"/>
  <c r="AF41" i="1" l="1"/>
  <c r="AF42" i="1" l="1"/>
  <c r="AF43" i="1" l="1"/>
  <c r="AF44" i="1" l="1"/>
  <c r="AF45" i="1" l="1"/>
  <c r="AF46" i="1" l="1"/>
  <c r="AF47" i="1" l="1"/>
  <c r="AF48" i="1" l="1"/>
  <c r="AF49" i="1" l="1"/>
  <c r="AF50" i="1" l="1"/>
  <c r="AF51" i="1" l="1"/>
  <c r="AF52" i="1" l="1"/>
  <c r="AF54" i="1" l="1"/>
  <c r="AJ5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Raymond Nagel</author>
  </authors>
  <commentList>
    <comment ref="F2" authorId="0" shapeId="0" xr:uid="{C64A68B3-B09F-4D79-ACED-6C78DBC31B98}">
      <text>
        <r>
          <rPr>
            <b/>
            <sz val="9"/>
            <color indexed="81"/>
            <rFont val="Tahoma"/>
            <family val="2"/>
          </rPr>
          <t xml:space="preserve">Level:
</t>
        </r>
        <r>
          <rPr>
            <sz val="9"/>
            <color indexed="81"/>
            <rFont val="Tahoma"/>
            <family val="2"/>
          </rPr>
          <t>The player's level.
Each row represents a picture of what the game is like for a player at this level at the selected difficulty.</t>
        </r>
      </text>
    </comment>
    <comment ref="G2" authorId="0" shapeId="0" xr:uid="{B3831B79-DC19-42F1-AA76-F0FB85976533}">
      <text>
        <r>
          <rPr>
            <b/>
            <sz val="9"/>
            <color indexed="81"/>
            <rFont val="Tahoma"/>
            <family val="2"/>
          </rPr>
          <t xml:space="preserve">Level-Faith:
</t>
        </r>
        <r>
          <rPr>
            <sz val="9"/>
            <color indexed="81"/>
            <rFont val="Tahoma"/>
            <family val="2"/>
          </rPr>
          <t>The amount of faith the player has accumulated by gaining new levels.</t>
        </r>
      </text>
    </comment>
    <comment ref="H2" authorId="0" shapeId="0" xr:uid="{9FE2E25E-6572-4BDF-BFC9-13D6086C9DC4}">
      <text>
        <r>
          <rPr>
            <b/>
            <sz val="9"/>
            <color indexed="81"/>
            <rFont val="Tahoma"/>
            <family val="2"/>
          </rPr>
          <t xml:space="preserve">Books:
</t>
        </r>
        <r>
          <rPr>
            <sz val="9"/>
            <color indexed="81"/>
            <rFont val="Tahoma"/>
            <family val="2"/>
          </rPr>
          <t xml:space="preserve">The estimated number of books the player will have collected.
</t>
        </r>
      </text>
    </comment>
    <comment ref="I2" authorId="0" shapeId="0" xr:uid="{996A7D05-AF94-4400-BE1F-941C2718A895}">
      <text>
        <r>
          <rPr>
            <b/>
            <sz val="9"/>
            <color indexed="81"/>
            <rFont val="Tahoma"/>
            <family val="2"/>
          </rPr>
          <t>Books-Faith:</t>
        </r>
        <r>
          <rPr>
            <sz val="9"/>
            <color indexed="81"/>
            <rFont val="Tahoma"/>
            <family val="2"/>
          </rPr>
          <t xml:space="preserve">
The estimated amount of faith gained by the player by collecting books.</t>
        </r>
      </text>
    </comment>
    <comment ref="J2" authorId="0" shapeId="0" xr:uid="{748F981F-1D38-4D5B-8630-466D93313972}">
      <text>
        <r>
          <rPr>
            <b/>
            <sz val="9"/>
            <color indexed="81"/>
            <rFont val="Tahoma"/>
            <family val="2"/>
          </rPr>
          <t>Fruits:</t>
        </r>
        <r>
          <rPr>
            <sz val="9"/>
            <color indexed="81"/>
            <rFont val="Tahoma"/>
            <family val="2"/>
          </rPr>
          <t xml:space="preserve">
The estimated number of fruits the player will have collected.</t>
        </r>
      </text>
    </comment>
    <comment ref="K2" authorId="0" shapeId="0" xr:uid="{1DBD62A8-0D75-4E29-BC15-BA162231B24F}">
      <text>
        <r>
          <rPr>
            <b/>
            <sz val="9"/>
            <color indexed="81"/>
            <rFont val="Tahoma"/>
            <family val="2"/>
          </rPr>
          <t>Fruits-Faith:</t>
        </r>
        <r>
          <rPr>
            <sz val="9"/>
            <color indexed="81"/>
            <rFont val="Tahoma"/>
            <family val="2"/>
          </rPr>
          <t xml:space="preserve">
The estimated amount of faith the player has accumulated by obtaining fruit.</t>
        </r>
      </text>
    </comment>
    <comment ref="L2" authorId="0" shapeId="0" xr:uid="{1CB8FAA0-DBEB-41B6-8E0A-61977211AEB9}">
      <text>
        <r>
          <rPr>
            <b/>
            <sz val="9"/>
            <color indexed="81"/>
            <rFont val="Tahoma"/>
            <family val="2"/>
          </rPr>
          <t>Commandments:</t>
        </r>
        <r>
          <rPr>
            <sz val="9"/>
            <color indexed="81"/>
            <rFont val="Tahoma"/>
            <family val="2"/>
          </rPr>
          <t xml:space="preserve">
The estimated number of commandments the player has obtained.</t>
        </r>
      </text>
    </comment>
    <comment ref="M2" authorId="0" shapeId="0" xr:uid="{DAF2926F-C0C6-4265-8D95-E4FBD10ECB78}">
      <text>
        <r>
          <rPr>
            <b/>
            <sz val="9"/>
            <color indexed="81"/>
            <rFont val="Tahoma"/>
            <family val="2"/>
          </rPr>
          <t>Commandments-Faith:</t>
        </r>
        <r>
          <rPr>
            <sz val="9"/>
            <color indexed="81"/>
            <rFont val="Tahoma"/>
            <family val="2"/>
          </rPr>
          <t xml:space="preserve">
The amount of faith expected to be accumulated by obtaining commandments at this point.</t>
        </r>
      </text>
    </comment>
    <comment ref="N2" authorId="0" shapeId="0" xr:uid="{48A80A6E-8EF7-4DA4-AC9C-884F95B4E46D}">
      <text>
        <r>
          <rPr>
            <b/>
            <sz val="9"/>
            <color indexed="81"/>
            <rFont val="Tahoma"/>
            <family val="2"/>
          </rPr>
          <t>Armor:</t>
        </r>
        <r>
          <rPr>
            <sz val="9"/>
            <color indexed="81"/>
            <rFont val="Tahoma"/>
            <family val="2"/>
          </rPr>
          <t xml:space="preserve">
The estimated number of armor pieces obtained.</t>
        </r>
      </text>
    </comment>
    <comment ref="O2" authorId="0" shapeId="0" xr:uid="{4F9F5294-47EC-41A1-9643-10695D843FD0}">
      <text>
        <r>
          <rPr>
            <b/>
            <sz val="9"/>
            <color indexed="81"/>
            <rFont val="Tahoma"/>
            <family val="2"/>
          </rPr>
          <t>Armor-Faith:</t>
        </r>
        <r>
          <rPr>
            <sz val="9"/>
            <color indexed="81"/>
            <rFont val="Tahoma"/>
            <family val="2"/>
          </rPr>
          <t xml:space="preserve">
The estimated amount of faith accumulated by obtaining armor pieces.</t>
        </r>
      </text>
    </comment>
    <comment ref="P2" authorId="0" shapeId="0" xr:uid="{5CE67CBD-206C-434A-8779-98143E67AC1C}">
      <text>
        <r>
          <rPr>
            <b/>
            <sz val="9"/>
            <color indexed="81"/>
            <rFont val="Tahoma"/>
            <family val="2"/>
          </rPr>
          <t>Total Faith:</t>
        </r>
        <r>
          <rPr>
            <sz val="9"/>
            <color indexed="81"/>
            <rFont val="Tahoma"/>
            <family val="2"/>
          </rPr>
          <t xml:space="preserve">
The total amount of faith (max faith) the player is estimated to have.</t>
        </r>
      </text>
    </comment>
    <comment ref="Q2" authorId="0" shapeId="0" xr:uid="{92694276-34E6-40C9-8369-FEEA333F63A8}">
      <text>
        <r>
          <rPr>
            <b/>
            <sz val="9"/>
            <color indexed="81"/>
            <rFont val="Tahoma"/>
            <family val="2"/>
          </rPr>
          <t>Expected Books Used:</t>
        </r>
        <r>
          <rPr>
            <sz val="9"/>
            <color indexed="81"/>
            <rFont val="Tahoma"/>
            <family val="2"/>
          </rPr>
          <t xml:space="preserve">
The estimated number of books we expect the player to be using in battle.
This is based on an expected amount by the end of the game for each difficulty.</t>
        </r>
      </text>
    </comment>
    <comment ref="S2" authorId="0" shapeId="0" xr:uid="{0300F3AB-D257-4357-BF6A-DAC3DB606D79}">
      <text>
        <r>
          <rPr>
            <b/>
            <sz val="9"/>
            <color indexed="81"/>
            <rFont val="Tahoma"/>
            <family val="2"/>
          </rPr>
          <t xml:space="preserve">Average Attack w/ Expected # of Books:
</t>
        </r>
        <r>
          <rPr>
            <sz val="9"/>
            <color indexed="81"/>
            <rFont val="Tahoma"/>
            <family val="2"/>
          </rPr>
          <t xml:space="preserve">The power of an average attack if the player is using the expected number of books.
</t>
        </r>
      </text>
    </comment>
    <comment ref="T2" authorId="0" shapeId="0" xr:uid="{17BA51E0-A4FA-4C7F-8939-564E7A1610CD}">
      <text>
        <r>
          <rPr>
            <b/>
            <sz val="9"/>
            <color indexed="81"/>
            <rFont val="Tahoma"/>
            <family val="2"/>
          </rPr>
          <t>Perfect Attack w/ Expected # of Books:</t>
        </r>
        <r>
          <rPr>
            <sz val="9"/>
            <color indexed="81"/>
            <rFont val="Tahoma"/>
            <family val="2"/>
          </rPr>
          <t xml:space="preserve">
The power of a perfect attack if the player is using the expected number of books.</t>
        </r>
      </text>
    </comment>
    <comment ref="U2" authorId="0" shapeId="0" xr:uid="{7143931C-2E43-4491-A225-85394B32C474}">
      <text>
        <r>
          <rPr>
            <b/>
            <sz val="9"/>
            <color indexed="81"/>
            <rFont val="Tahoma"/>
            <family val="2"/>
          </rPr>
          <t xml:space="preserve">Average Attack w/ Max # of Books:
</t>
        </r>
        <r>
          <rPr>
            <sz val="9"/>
            <color indexed="81"/>
            <rFont val="Tahoma"/>
            <family val="2"/>
          </rPr>
          <t>The power of an average attack if the player is using all books that are expected to be collected.</t>
        </r>
      </text>
    </comment>
    <comment ref="V2" authorId="0" shapeId="0" xr:uid="{F726958C-2A8C-4A3C-8896-0293EBCA1E90}">
      <text>
        <r>
          <rPr>
            <b/>
            <sz val="9"/>
            <color indexed="81"/>
            <rFont val="Tahoma"/>
            <family val="2"/>
          </rPr>
          <t xml:space="preserve">Perfect Attack w/ Max # of Books:
</t>
        </r>
        <r>
          <rPr>
            <sz val="9"/>
            <color indexed="81"/>
            <rFont val="Tahoma"/>
            <family val="2"/>
          </rPr>
          <t>The power of a perfect attack if the player is using all books expected to be collected.</t>
        </r>
      </text>
    </comment>
    <comment ref="X2" authorId="0" shapeId="0" xr:uid="{4EEAEDF9-FC14-4333-B878-ACCAD0E4FED8}">
      <text>
        <r>
          <rPr>
            <b/>
            <sz val="9"/>
            <color indexed="81"/>
            <rFont val="Tahoma"/>
            <family val="2"/>
          </rPr>
          <t>Enemy Resistance:</t>
        </r>
        <r>
          <rPr>
            <sz val="9"/>
            <color indexed="81"/>
            <rFont val="Tahoma"/>
            <family val="2"/>
          </rPr>
          <t xml:space="preserve">
The amount of resistance (HP) an enemy of the same level will have.</t>
        </r>
      </text>
    </comment>
    <comment ref="Y2" authorId="0" shapeId="0" xr:uid="{3A0F529C-922C-47F1-AF33-6AF7640E702A}">
      <text>
        <r>
          <rPr>
            <b/>
            <sz val="9"/>
            <color indexed="81"/>
            <rFont val="Tahoma"/>
            <family val="2"/>
          </rPr>
          <t>Avg Hits to Win:</t>
        </r>
        <r>
          <rPr>
            <sz val="9"/>
            <color indexed="81"/>
            <rFont val="Tahoma"/>
            <family val="2"/>
          </rPr>
          <t xml:space="preserve">
An estimated number of hits required to win a battle against an enemy of equal level, assuming each hit is an average attack made with the expected # of books.</t>
        </r>
      </text>
    </comment>
    <comment ref="Z2" authorId="0" shapeId="0" xr:uid="{ABBC1070-40B6-4823-BA0C-7FC0CA5D37A2}">
      <text>
        <r>
          <rPr>
            <b/>
            <sz val="9"/>
            <color indexed="81"/>
            <rFont val="Tahoma"/>
            <family val="2"/>
          </rPr>
          <t>Enemy Attack:</t>
        </r>
        <r>
          <rPr>
            <sz val="9"/>
            <color indexed="81"/>
            <rFont val="Tahoma"/>
            <family val="2"/>
          </rPr>
          <t xml:space="preserve">
The base average attack of an enemy at this level.
Enemies may use special attacks that could, for example, be 125% of base, or 50% of base.</t>
        </r>
      </text>
    </comment>
    <comment ref="AA2" authorId="0" shapeId="0" xr:uid="{996AD698-D960-4345-AD7D-BD3205A03DA9}">
      <text>
        <r>
          <rPr>
            <b/>
            <sz val="9"/>
            <color indexed="81"/>
            <rFont val="Tahoma"/>
            <family val="2"/>
          </rPr>
          <t>Avg Hits to Lose:</t>
        </r>
        <r>
          <rPr>
            <sz val="9"/>
            <color indexed="81"/>
            <rFont val="Tahoma"/>
            <family val="2"/>
          </rPr>
          <t xml:space="preserve">
The estimated number of equal-level enemy hits a player can withstand before defeat (assuming that he enters the battle with max faith).</t>
        </r>
      </text>
    </comment>
    <comment ref="AC2" authorId="0" shapeId="0" xr:uid="{EBBEE886-420A-4250-80D3-58BF04673E38}">
      <text>
        <r>
          <rPr>
            <b/>
            <sz val="9"/>
            <color indexed="81"/>
            <rFont val="Tahoma"/>
            <family val="2"/>
          </rPr>
          <t>Exp for Level-Up:</t>
        </r>
        <r>
          <rPr>
            <sz val="9"/>
            <color indexed="81"/>
            <rFont val="Tahoma"/>
            <family val="2"/>
          </rPr>
          <t xml:space="preserve">
The amount of experience required to reach the next level.</t>
        </r>
      </text>
    </comment>
    <comment ref="AD2" authorId="0" shapeId="0" xr:uid="{4DFAC903-B652-4488-8FF5-2A69DAC77221}">
      <text>
        <r>
          <rPr>
            <b/>
            <sz val="9"/>
            <color indexed="81"/>
            <rFont val="Tahoma"/>
            <family val="2"/>
          </rPr>
          <t>Enemy Exp Inc:</t>
        </r>
        <r>
          <rPr>
            <sz val="9"/>
            <color indexed="81"/>
            <rFont val="Tahoma"/>
            <family val="2"/>
          </rPr>
          <t xml:space="preserve">
An increment that helps us steadily increase the amount of experience granted for higher-level enemies (to preserve appropriate rewards for defeating lower/equal/higher enemies), while also slightly increasing the number of victories needed to level up.</t>
        </r>
      </text>
    </comment>
    <comment ref="AE2" authorId="0" shapeId="0" xr:uid="{A2A657C2-FFA0-4A8D-847E-722924BA364F}">
      <text>
        <r>
          <rPr>
            <b/>
            <sz val="9"/>
            <color indexed="81"/>
            <rFont val="Tahoma"/>
            <family val="2"/>
          </rPr>
          <t xml:space="preserve">Equal Enemy Exp:
</t>
        </r>
        <r>
          <rPr>
            <sz val="9"/>
            <color indexed="81"/>
            <rFont val="Tahoma"/>
            <family val="2"/>
          </rPr>
          <t>The amount of experience awarded for defeating an enemy of the same level.
(The player receives less for defeating a lower-level enemy, and more for defeating a higher-level enemy.)</t>
        </r>
      </text>
    </comment>
    <comment ref="AF2" authorId="0" shapeId="0" xr:uid="{B4F93143-0759-4D80-9324-DC0FA1EE3AA3}">
      <text>
        <r>
          <rPr>
            <b/>
            <sz val="9"/>
            <color indexed="81"/>
            <rFont val="Tahoma"/>
            <family val="2"/>
          </rPr>
          <t>Equal Victories to Level:</t>
        </r>
        <r>
          <rPr>
            <sz val="9"/>
            <color indexed="81"/>
            <rFont val="Tahoma"/>
            <family val="2"/>
          </rPr>
          <t xml:space="preserve">
The estimated number of battles the player must win against enemies of equal level in order to level-up.</t>
        </r>
      </text>
    </comment>
  </commentList>
</comments>
</file>

<file path=xl/sharedStrings.xml><?xml version="1.0" encoding="utf-8"?>
<sst xmlns="http://schemas.openxmlformats.org/spreadsheetml/2006/main" count="53" uniqueCount="53">
  <si>
    <t>Fruits</t>
  </si>
  <si>
    <t>Books</t>
  </si>
  <si>
    <t>Armor</t>
  </si>
  <si>
    <t>Total Faith</t>
  </si>
  <si>
    <t>Books-Faith</t>
  </si>
  <si>
    <t>Level-Faith</t>
  </si>
  <si>
    <t>Fruits-Faith</t>
  </si>
  <si>
    <t>Commands</t>
  </si>
  <si>
    <t>Commands-Faith</t>
  </si>
  <si>
    <t>Armor-Faith</t>
  </si>
  <si>
    <t>MaxBooks/AvgAttack</t>
  </si>
  <si>
    <t>MaxBooks/Perfect</t>
  </si>
  <si>
    <t>Level</t>
  </si>
  <si>
    <t>ExpForLevelUp</t>
  </si>
  <si>
    <t>EqEnemyXp</t>
  </si>
  <si>
    <t>EqVictoriesToLevel</t>
  </si>
  <si>
    <t>EnemyXPInc</t>
  </si>
  <si>
    <t>Difficulty:</t>
  </si>
  <si>
    <t>Babe (1)</t>
  </si>
  <si>
    <t>Disciple (2)</t>
  </si>
  <si>
    <t>Soldier (3)</t>
  </si>
  <si>
    <t>Expected Books at Game End</t>
  </si>
  <si>
    <t>Enemy Attack Increase per Level</t>
  </si>
  <si>
    <t>AvgHits2Win</t>
  </si>
  <si>
    <t>Enemy Resistance Increase per Level</t>
  </si>
  <si>
    <t>AvgHits2Lose</t>
  </si>
  <si>
    <t>EnemyResist</t>
  </si>
  <si>
    <t>EnemyAttack</t>
  </si>
  <si>
    <t>Exp Books Used</t>
  </si>
  <si>
    <t>ExpBooks/AvgAttack</t>
  </si>
  <si>
    <t>ExpBooks/Perfect</t>
  </si>
  <si>
    <t>Battles to Max Level</t>
  </si>
  <si>
    <t>/</t>
  </si>
  <si>
    <t># Enemies</t>
  </si>
  <si>
    <t>=</t>
  </si>
  <si>
    <t>Each Enemy Reaches this Level</t>
  </si>
  <si>
    <t>With this calculation, having each enemy level up when faught will mean that, on average, enemies will only reach level 18. If that's the case, the player will have a difficult time finding enemies his level.
I like this mechanic, but it's not sufficient. We can add other mechanics alongside it.
When the player levels up, do both of these:
1) Select half of enemies lower than the player to level up.
2) Level-up the lowest enemy to equal the player's new level.
Thus there will always be a mix of lower-level enemies, those close to his level, and those of equal level will be pushed beyond his level when he encounters them.</t>
  </si>
  <si>
    <t>Battle Prediction</t>
  </si>
  <si>
    <t>Level-Up Estimation</t>
  </si>
  <si>
    <t>Faith/Book Gain</t>
  </si>
  <si>
    <t>Player Attacks</t>
  </si>
  <si>
    <r>
      <rPr>
        <b/>
        <sz val="11"/>
        <color theme="0" tint="-0.14999847407452621"/>
        <rFont val="Calibri"/>
        <family val="2"/>
        <scheme val="minor"/>
      </rPr>
      <t>Starting Faith</t>
    </r>
    <r>
      <rPr>
        <sz val="11"/>
        <color theme="0" tint="-0.14999847407452621"/>
        <rFont val="Calibri"/>
        <family val="2"/>
        <scheme val="minor"/>
      </rPr>
      <t>: Initial Faith is technically 40, but effectively starts at 50 because the player begins with the Sword of the Spirit and a book of the Bible. The book is part of this calculation; but Sword is omitted from the calculation, so 5 faith is added to the starting amount, making it 45.</t>
    </r>
  </si>
  <si>
    <t>Player Level</t>
  </si>
  <si>
    <t>Boss Tier</t>
  </si>
  <si>
    <t>Base Boss Level</t>
  </si>
  <si>
    <t>Adjusted Boss Level</t>
  </si>
  <si>
    <t>Mammon?</t>
  </si>
  <si>
    <t>Beelzebub?</t>
  </si>
  <si>
    <t>Belial?</t>
  </si>
  <si>
    <t>Legion?</t>
  </si>
  <si>
    <t>Lucifer</t>
  </si>
  <si>
    <t>Apollyon?</t>
  </si>
  <si>
    <t>Dragon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</si>
</sst>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499984740745262"/>
        <bgColor indexed="64"/>
      </patternFill>
    </fill>
  </fills>
  <borders count="5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3" fillId="2" borderId="0" xfId="0" applyFont="1" applyFill="1" applyAlignment="1">
      <alignment horizontal="right"/>
    </xf>
    <xf numFmtId="0" fontId="4" fillId="2" borderId="0" xfId="0" applyFont="1" applyFill="1" applyAlignment="1">
      <alignment wrapText="1"/>
    </xf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7" fillId="2" borderId="0" xfId="0" applyFont="1" applyFill="1" applyAlignment="1">
      <alignment horizontal="center"/>
    </xf>
    <xf numFmtId="0" fontId="7" fillId="2" borderId="0" xfId="0" applyFont="1" applyFill="1" applyAlignment="1">
      <alignment horizontal="right"/>
    </xf>
    <xf numFmtId="2" fontId="3" fillId="2" borderId="0" xfId="0" applyNumberFormat="1" applyFont="1" applyFill="1"/>
    <xf numFmtId="1" fontId="3" fillId="2" borderId="0" xfId="0" applyNumberFormat="1" applyFont="1" applyFill="1"/>
    <xf numFmtId="164" fontId="3" fillId="2" borderId="0" xfId="0" applyNumberFormat="1" applyFont="1" applyFill="1"/>
    <xf numFmtId="2" fontId="3" fillId="2" borderId="0" xfId="0" applyNumberFormat="1" applyFont="1" applyFill="1" applyAlignment="1">
      <alignment horizontal="right"/>
    </xf>
    <xf numFmtId="2" fontId="4" fillId="2" borderId="0" xfId="0" applyNumberFormat="1" applyFont="1" applyFill="1" applyAlignment="1">
      <alignment horizontal="center"/>
    </xf>
    <xf numFmtId="2" fontId="4" fillId="2" borderId="0" xfId="0" applyNumberFormat="1" applyFont="1" applyFill="1"/>
    <xf numFmtId="2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quotePrefix="1" applyFont="1" applyFill="1" applyAlignment="1">
      <alignment horizontal="center"/>
    </xf>
    <xf numFmtId="0" fontId="6" fillId="2" borderId="1" xfId="0" applyFont="1" applyFill="1" applyBorder="1" applyAlignment="1">
      <alignment horizontal="right" vertical="center"/>
    </xf>
    <xf numFmtId="0" fontId="7" fillId="2" borderId="1" xfId="0" applyFont="1" applyFill="1" applyBorder="1" applyAlignment="1">
      <alignment horizontal="center"/>
    </xf>
    <xf numFmtId="2" fontId="3" fillId="2" borderId="1" xfId="0" applyNumberFormat="1" applyFont="1" applyFill="1" applyBorder="1"/>
    <xf numFmtId="0" fontId="3" fillId="2" borderId="1" xfId="0" applyFont="1" applyFill="1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left" vertical="top" wrapText="1"/>
    </xf>
    <xf numFmtId="2" fontId="3" fillId="2" borderId="0" xfId="0" applyNumberFormat="1" applyFont="1" applyFill="1" applyAlignment="1">
      <alignment horizontal="left" vertical="top" wrapText="1"/>
    </xf>
    <xf numFmtId="0" fontId="0" fillId="0" borderId="0" xfId="0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142875</xdr:rowOff>
        </xdr:from>
        <xdr:to>
          <xdr:col>9</xdr:col>
          <xdr:colOff>304800</xdr:colOff>
          <xdr:row>0</xdr:row>
          <xdr:rowOff>428625</xdr:rowOff>
        </xdr:to>
        <xdr:sp macro="" textlink="">
          <xdr:nvSpPr>
            <xdr:cNvPr id="1025" name="cboDifficulty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9AE1F-E70B-455A-894A-F67310F575B1}">
  <sheetPr codeName="Sheet1"/>
  <dimension ref="A1:AM64"/>
  <sheetViews>
    <sheetView tabSelected="1"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V53" sqref="V53"/>
    </sheetView>
  </sheetViews>
  <sheetFormatPr defaultColWidth="8.7109375" defaultRowHeight="15" x14ac:dyDescent="0.25"/>
  <cols>
    <col min="1" max="1" width="8.28515625" style="1" bestFit="1" customWidth="1"/>
    <col min="2" max="2" width="7.7109375" style="3" bestFit="1" customWidth="1"/>
    <col min="3" max="3" width="8.42578125" style="3" bestFit="1" customWidth="1"/>
    <col min="4" max="4" width="7.28515625" style="3" customWidth="1"/>
    <col min="5" max="5" width="2.85546875" style="3" customWidth="1"/>
    <col min="6" max="6" width="4.5703125" style="3" bestFit="1" customWidth="1"/>
    <col min="7" max="7" width="8.28515625" style="3" bestFit="1" customWidth="1"/>
    <col min="8" max="8" width="4.85546875" style="3" bestFit="1" customWidth="1"/>
    <col min="9" max="9" width="8.5703125" style="3" bestFit="1" customWidth="1"/>
    <col min="10" max="10" width="4.7109375" style="3" bestFit="1" customWidth="1"/>
    <col min="11" max="11" width="8.42578125" style="3" bestFit="1" customWidth="1"/>
    <col min="12" max="12" width="8.28515625" style="3" bestFit="1" customWidth="1"/>
    <col min="13" max="13" width="12" style="3" bestFit="1" customWidth="1"/>
    <col min="14" max="14" width="5.28515625" style="3" bestFit="1" customWidth="1"/>
    <col min="15" max="15" width="9" style="3" bestFit="1" customWidth="1"/>
    <col min="16" max="16" width="7.85546875" style="3" bestFit="1" customWidth="1"/>
    <col min="17" max="17" width="11.140625" style="19" bestFit="1" customWidth="1"/>
    <col min="18" max="18" width="2.85546875" style="3" customWidth="1"/>
    <col min="19" max="19" width="14.85546875" style="3" bestFit="1" customWidth="1"/>
    <col min="20" max="20" width="12.85546875" style="3" bestFit="1" customWidth="1"/>
    <col min="21" max="21" width="15.28515625" style="3" bestFit="1" customWidth="1"/>
    <col min="22" max="22" width="13.42578125" style="19" bestFit="1" customWidth="1"/>
    <col min="23" max="23" width="2.85546875" style="3" customWidth="1"/>
    <col min="24" max="24" width="9.5703125" style="3" bestFit="1" customWidth="1"/>
    <col min="25" max="25" width="9.85546875" style="3" bestFit="1" customWidth="1"/>
    <col min="26" max="26" width="9.7109375" style="3" bestFit="1" customWidth="1"/>
    <col min="27" max="27" width="9.85546875" style="19" bestFit="1" customWidth="1"/>
    <col min="28" max="28" width="2.85546875" style="3" customWidth="1"/>
    <col min="29" max="29" width="10.85546875" style="3" bestFit="1" customWidth="1"/>
    <col min="30" max="30" width="9.140625" style="3" bestFit="1" customWidth="1"/>
    <col min="31" max="31" width="8.7109375" style="3" bestFit="1" customWidth="1"/>
    <col min="32" max="32" width="13.85546875" style="3" bestFit="1" customWidth="1"/>
    <col min="33" max="33" width="2.85546875" style="3" customWidth="1"/>
    <col min="34" max="34" width="7.7109375" style="3" bestFit="1" customWidth="1"/>
    <col min="35" max="35" width="2.85546875" style="3" customWidth="1"/>
    <col min="36" max="16384" width="8.7109375" style="3"/>
  </cols>
  <sheetData>
    <row r="1" spans="1:32" ht="46.5" customHeight="1" x14ac:dyDescent="0.25">
      <c r="B1" s="2" t="s">
        <v>21</v>
      </c>
      <c r="C1" s="2" t="s">
        <v>24</v>
      </c>
      <c r="D1" s="2" t="s">
        <v>22</v>
      </c>
      <c r="F1" s="50" t="s">
        <v>17</v>
      </c>
      <c r="G1" s="50"/>
      <c r="K1" s="3">
        <v>2</v>
      </c>
      <c r="L1" s="3">
        <f>INDEX(B:B, 2 + K1)</f>
        <v>30</v>
      </c>
      <c r="M1" s="3">
        <f>INDEX(C:C, 2 + K1)</f>
        <v>4</v>
      </c>
      <c r="N1" s="3">
        <f>INDEX(D:D, 2 + K1)</f>
        <v>2</v>
      </c>
      <c r="Q1" s="16" t="s">
        <v>39</v>
      </c>
      <c r="V1" s="16" t="s">
        <v>40</v>
      </c>
      <c r="AA1" s="16" t="s">
        <v>37</v>
      </c>
      <c r="AF1" s="4" t="s">
        <v>38</v>
      </c>
    </row>
    <row r="2" spans="1:32" s="5" customFormat="1" ht="11.25" x14ac:dyDescent="0.2">
      <c r="F2" s="5" t="s">
        <v>12</v>
      </c>
      <c r="G2" s="5" t="s">
        <v>5</v>
      </c>
      <c r="H2" s="5" t="s">
        <v>1</v>
      </c>
      <c r="I2" s="5" t="s">
        <v>4</v>
      </c>
      <c r="J2" s="5" t="s">
        <v>0</v>
      </c>
      <c r="K2" s="5" t="s">
        <v>6</v>
      </c>
      <c r="L2" s="5" t="s">
        <v>7</v>
      </c>
      <c r="M2" s="5" t="s">
        <v>8</v>
      </c>
      <c r="N2" s="5" t="s">
        <v>2</v>
      </c>
      <c r="O2" s="5" t="s">
        <v>9</v>
      </c>
      <c r="P2" s="5" t="s">
        <v>3</v>
      </c>
      <c r="Q2" s="17" t="s">
        <v>28</v>
      </c>
      <c r="S2" s="5" t="s">
        <v>29</v>
      </c>
      <c r="T2" s="5" t="s">
        <v>30</v>
      </c>
      <c r="U2" s="5" t="s">
        <v>10</v>
      </c>
      <c r="V2" s="17" t="s">
        <v>11</v>
      </c>
      <c r="X2" s="5" t="s">
        <v>26</v>
      </c>
      <c r="Y2" s="5" t="s">
        <v>23</v>
      </c>
      <c r="Z2" s="5" t="s">
        <v>27</v>
      </c>
      <c r="AA2" s="17" t="s">
        <v>25</v>
      </c>
      <c r="AC2" s="5" t="s">
        <v>13</v>
      </c>
      <c r="AD2" s="5" t="s">
        <v>16</v>
      </c>
      <c r="AE2" s="5" t="s">
        <v>14</v>
      </c>
      <c r="AF2" s="5" t="s">
        <v>15</v>
      </c>
    </row>
    <row r="3" spans="1:32" s="7" customFormat="1" ht="15.75" customHeight="1" x14ac:dyDescent="0.25">
      <c r="A3" s="6" t="s">
        <v>18</v>
      </c>
      <c r="B3" s="3">
        <v>10</v>
      </c>
      <c r="C3" s="3">
        <v>2</v>
      </c>
      <c r="D3" s="3">
        <v>1.5</v>
      </c>
      <c r="F3" s="8">
        <v>0</v>
      </c>
      <c r="G3" s="8">
        <v>45</v>
      </c>
      <c r="H3" s="9">
        <v>1</v>
      </c>
      <c r="I3" s="8">
        <f>INT((H3*5)/5)*5</f>
        <v>5</v>
      </c>
      <c r="J3" s="9">
        <v>0.17647059000000001</v>
      </c>
      <c r="K3" s="8">
        <f>INT((J3*5)/5)*5</f>
        <v>0</v>
      </c>
      <c r="L3" s="9">
        <v>0.19607843</v>
      </c>
      <c r="M3" s="8">
        <f>INT((L3*5)/5)*5</f>
        <v>0</v>
      </c>
      <c r="N3" s="9">
        <v>9.8039219999999996E-2</v>
      </c>
      <c r="O3" s="8">
        <f>INT((N3*5)/5)*5</f>
        <v>0</v>
      </c>
      <c r="P3" s="8">
        <f>INT(G3+I3+K3+M3+O3)</f>
        <v>50</v>
      </c>
      <c r="Q3" s="18">
        <f>MAX(1, ($L$1/50) * F3)</f>
        <v>1</v>
      </c>
      <c r="S3" s="7">
        <f>(150 * (1+(Q3*0.1))/10)</f>
        <v>16.5</v>
      </c>
      <c r="T3" s="7">
        <f>(300 * (1+(Q3*0.1))/10)</f>
        <v>33</v>
      </c>
      <c r="U3" s="7">
        <f>(150 * (1+(H3*0.1))/10)</f>
        <v>16.5</v>
      </c>
      <c r="V3" s="18">
        <f>(300 * (1+(H3*0.1))/10)</f>
        <v>33</v>
      </c>
      <c r="X3" s="7">
        <f xml:space="preserve"> 20 + ($M$1 * F3)</f>
        <v>20</v>
      </c>
      <c r="Y3" s="7">
        <f t="shared" ref="Y3:Y34" si="0" xml:space="preserve"> MAX(1, X3/S3)</f>
        <v>1.2121212121212122</v>
      </c>
      <c r="Z3" s="7">
        <f xml:space="preserve"> 5 + ($N$1 * F3)</f>
        <v>5</v>
      </c>
      <c r="AA3" s="18">
        <f t="shared" ref="AA3:AA34" si="1" xml:space="preserve"> MAX(1, P3/Z3)</f>
        <v>10</v>
      </c>
      <c r="AC3" s="7">
        <f xml:space="preserve"> POWER(10, 1)</f>
        <v>10</v>
      </c>
      <c r="AD3" s="7">
        <v>0</v>
      </c>
      <c r="AE3" s="7">
        <f>AC3 / (5 + AD3)</f>
        <v>2</v>
      </c>
      <c r="AF3" s="7">
        <f t="shared" ref="AF3:AF34" si="2" xml:space="preserve"> AC3 / AE3</f>
        <v>5</v>
      </c>
    </row>
    <row r="4" spans="1:32" s="7" customFormat="1" x14ac:dyDescent="0.25">
      <c r="A4" s="6" t="s">
        <v>19</v>
      </c>
      <c r="B4" s="3">
        <v>30</v>
      </c>
      <c r="C4" s="3">
        <v>4</v>
      </c>
      <c r="D4" s="3">
        <v>2</v>
      </c>
      <c r="F4" s="8">
        <v>1</v>
      </c>
      <c r="G4" s="8">
        <f>$G$3+(F4*10)</f>
        <v>55</v>
      </c>
      <c r="H4" s="9">
        <v>2.2999999999999998</v>
      </c>
      <c r="I4" s="8">
        <f t="shared" ref="I4:I53" si="3">INT((H4*5)/5)*5</f>
        <v>10</v>
      </c>
      <c r="J4" s="9">
        <v>0.35294118000000002</v>
      </c>
      <c r="K4" s="8">
        <f>INT((J4*5)/5)*5</f>
        <v>0</v>
      </c>
      <c r="L4" s="9">
        <v>0.39215686</v>
      </c>
      <c r="M4" s="8">
        <f t="shared" ref="M4:M53" si="4">INT((L4*5)/5)*5</f>
        <v>0</v>
      </c>
      <c r="N4" s="9">
        <v>0.19607843</v>
      </c>
      <c r="O4" s="8">
        <f t="shared" ref="O4:O53" si="5">INT((N4*5)/5)*5</f>
        <v>0</v>
      </c>
      <c r="P4" s="8">
        <f t="shared" ref="P4:P53" si="6">INT(G4+I4+K4+M4+O4)</f>
        <v>65</v>
      </c>
      <c r="Q4" s="18">
        <f t="shared" ref="Q4:Q53" si="7">MAX(1, ($L$1/50) * F4)</f>
        <v>1</v>
      </c>
      <c r="S4" s="7">
        <f t="shared" ref="S4:S53" si="8">(150 * (1+(Q4*0.1))/10)</f>
        <v>16.5</v>
      </c>
      <c r="T4" s="7">
        <f t="shared" ref="T4:T53" si="9">(300 * (1+(Q4*0.1))/10)</f>
        <v>33</v>
      </c>
      <c r="U4" s="7">
        <f t="shared" ref="U4:U53" si="10">(150 * (1+(H4*0.1))/10)</f>
        <v>18.45</v>
      </c>
      <c r="V4" s="18">
        <f t="shared" ref="V4:V53" si="11">(300 * (1+(H4*0.1))/10)</f>
        <v>36.9</v>
      </c>
      <c r="X4" s="7">
        <f t="shared" ref="X4:X53" si="12" xml:space="preserve"> 20 + ($M$1 * F4)</f>
        <v>24</v>
      </c>
      <c r="Y4" s="7">
        <f t="shared" si="0"/>
        <v>1.4545454545454546</v>
      </c>
      <c r="Z4" s="7">
        <f t="shared" ref="Z4:Z53" si="13" xml:space="preserve"> 5 + ($N$1 * F4)</f>
        <v>7</v>
      </c>
      <c r="AA4" s="18">
        <f t="shared" si="1"/>
        <v>9.2857142857142865</v>
      </c>
      <c r="AC4" s="7">
        <f>POWER(10, 1.1)</f>
        <v>12.58925411794168</v>
      </c>
      <c r="AD4" s="7">
        <v>0.1</v>
      </c>
      <c r="AE4" s="7">
        <f t="shared" ref="AE4:AE52" si="14">AC4 / (5 + AD4)</f>
        <v>2.468481199596408</v>
      </c>
      <c r="AF4" s="7">
        <f t="shared" si="2"/>
        <v>5.0999999999999996</v>
      </c>
    </row>
    <row r="5" spans="1:32" s="7" customFormat="1" x14ac:dyDescent="0.25">
      <c r="A5" s="6" t="s">
        <v>20</v>
      </c>
      <c r="B5" s="3">
        <v>60</v>
      </c>
      <c r="C5" s="3">
        <v>6</v>
      </c>
      <c r="D5" s="3">
        <v>3</v>
      </c>
      <c r="F5" s="8">
        <v>2</v>
      </c>
      <c r="G5" s="8">
        <f t="shared" ref="G5:G53" si="15">$G$3+(F5*10)</f>
        <v>65</v>
      </c>
      <c r="H5" s="9">
        <v>3.6</v>
      </c>
      <c r="I5" s="8">
        <f t="shared" si="3"/>
        <v>15</v>
      </c>
      <c r="J5" s="9">
        <v>0.52941176999999995</v>
      </c>
      <c r="K5" s="8">
        <f t="shared" ref="K5:K53" si="16">INT((J5*5)/5)*5</f>
        <v>0</v>
      </c>
      <c r="L5" s="9">
        <v>0.58823528999999997</v>
      </c>
      <c r="M5" s="8">
        <f t="shared" si="4"/>
        <v>0</v>
      </c>
      <c r="N5" s="9">
        <v>0.29411764000000001</v>
      </c>
      <c r="O5" s="8">
        <f t="shared" si="5"/>
        <v>0</v>
      </c>
      <c r="P5" s="8">
        <f t="shared" si="6"/>
        <v>80</v>
      </c>
      <c r="Q5" s="18">
        <f t="shared" si="7"/>
        <v>1.2</v>
      </c>
      <c r="S5" s="7">
        <f t="shared" si="8"/>
        <v>16.800000000000004</v>
      </c>
      <c r="T5" s="7">
        <f t="shared" si="9"/>
        <v>33.600000000000009</v>
      </c>
      <c r="U5" s="7">
        <f t="shared" si="10"/>
        <v>20.400000000000002</v>
      </c>
      <c r="V5" s="18">
        <f t="shared" si="11"/>
        <v>40.800000000000004</v>
      </c>
      <c r="X5" s="7">
        <f t="shared" si="12"/>
        <v>28</v>
      </c>
      <c r="Y5" s="7">
        <f t="shared" si="0"/>
        <v>1.6666666666666663</v>
      </c>
      <c r="Z5" s="7">
        <f t="shared" si="13"/>
        <v>9</v>
      </c>
      <c r="AA5" s="18">
        <f t="shared" si="1"/>
        <v>8.8888888888888893</v>
      </c>
      <c r="AC5" s="7">
        <f>POWER(10, 1.2)</f>
        <v>15.848931924611136</v>
      </c>
      <c r="AD5" s="7">
        <v>0.2</v>
      </c>
      <c r="AE5" s="7">
        <f t="shared" si="14"/>
        <v>3.0478715239636798</v>
      </c>
      <c r="AF5" s="7">
        <f t="shared" si="2"/>
        <v>5.2</v>
      </c>
    </row>
    <row r="6" spans="1:32" s="7" customFormat="1" x14ac:dyDescent="0.25">
      <c r="A6" s="10"/>
      <c r="B6" s="3"/>
      <c r="C6" s="3"/>
      <c r="D6" s="3"/>
      <c r="F6" s="8">
        <v>3</v>
      </c>
      <c r="G6" s="8">
        <f t="shared" si="15"/>
        <v>75</v>
      </c>
      <c r="H6" s="9">
        <v>4.9000000000000004</v>
      </c>
      <c r="I6" s="8">
        <f t="shared" si="3"/>
        <v>20</v>
      </c>
      <c r="J6" s="9">
        <v>0.70588236000000004</v>
      </c>
      <c r="K6" s="8">
        <f t="shared" si="16"/>
        <v>0</v>
      </c>
      <c r="L6" s="9">
        <v>0.78431371999999999</v>
      </c>
      <c r="M6" s="8">
        <f t="shared" si="4"/>
        <v>0</v>
      </c>
      <c r="N6" s="9">
        <v>0.39215685</v>
      </c>
      <c r="O6" s="8">
        <f t="shared" si="5"/>
        <v>0</v>
      </c>
      <c r="P6" s="8">
        <f t="shared" si="6"/>
        <v>95</v>
      </c>
      <c r="Q6" s="18">
        <f t="shared" si="7"/>
        <v>1.7999999999999998</v>
      </c>
      <c r="S6" s="7">
        <f t="shared" si="8"/>
        <v>17.7</v>
      </c>
      <c r="T6" s="7">
        <f t="shared" si="9"/>
        <v>35.4</v>
      </c>
      <c r="U6" s="7">
        <f t="shared" si="10"/>
        <v>22.35</v>
      </c>
      <c r="V6" s="18">
        <f t="shared" si="11"/>
        <v>44.7</v>
      </c>
      <c r="W6" s="5"/>
      <c r="X6" s="7">
        <f t="shared" si="12"/>
        <v>32</v>
      </c>
      <c r="Y6" s="7">
        <f t="shared" si="0"/>
        <v>1.807909604519774</v>
      </c>
      <c r="Z6" s="7">
        <f t="shared" si="13"/>
        <v>11</v>
      </c>
      <c r="AA6" s="18">
        <f t="shared" si="1"/>
        <v>8.6363636363636367</v>
      </c>
      <c r="AC6" s="7">
        <f xml:space="preserve"> POWER(10, 1.3)</f>
        <v>19.952623149688804</v>
      </c>
      <c r="AD6" s="7">
        <v>0.3</v>
      </c>
      <c r="AE6" s="7">
        <f t="shared" si="14"/>
        <v>3.7646458772997744</v>
      </c>
      <c r="AF6" s="7">
        <f t="shared" si="2"/>
        <v>5.3</v>
      </c>
    </row>
    <row r="7" spans="1:32" s="7" customFormat="1" ht="14.45" customHeight="1" x14ac:dyDescent="0.25">
      <c r="A7" s="52" t="s">
        <v>41</v>
      </c>
      <c r="B7" s="52"/>
      <c r="C7" s="52"/>
      <c r="D7" s="52"/>
      <c r="F7" s="8">
        <v>4</v>
      </c>
      <c r="G7" s="8">
        <f t="shared" si="15"/>
        <v>85</v>
      </c>
      <c r="H7" s="9">
        <v>6.2</v>
      </c>
      <c r="I7" s="8">
        <f t="shared" si="3"/>
        <v>30</v>
      </c>
      <c r="J7" s="9">
        <v>0.88235295000000002</v>
      </c>
      <c r="K7" s="8">
        <f t="shared" si="16"/>
        <v>0</v>
      </c>
      <c r="L7" s="9">
        <v>0.98039215000000002</v>
      </c>
      <c r="M7" s="8">
        <f t="shared" si="4"/>
        <v>0</v>
      </c>
      <c r="N7" s="9">
        <v>0.49019605999999999</v>
      </c>
      <c r="O7" s="8">
        <f t="shared" si="5"/>
        <v>0</v>
      </c>
      <c r="P7" s="8">
        <f t="shared" si="6"/>
        <v>115</v>
      </c>
      <c r="Q7" s="18">
        <f t="shared" si="7"/>
        <v>2.4</v>
      </c>
      <c r="S7" s="7">
        <f t="shared" si="8"/>
        <v>18.600000000000001</v>
      </c>
      <c r="T7" s="7">
        <f t="shared" si="9"/>
        <v>37.200000000000003</v>
      </c>
      <c r="U7" s="7">
        <f t="shared" si="10"/>
        <v>24.300000000000004</v>
      </c>
      <c r="V7" s="18">
        <f t="shared" si="11"/>
        <v>48.600000000000009</v>
      </c>
      <c r="X7" s="7">
        <f t="shared" si="12"/>
        <v>36</v>
      </c>
      <c r="Y7" s="7">
        <f t="shared" si="0"/>
        <v>1.9354838709677418</v>
      </c>
      <c r="Z7" s="7">
        <f t="shared" si="13"/>
        <v>13</v>
      </c>
      <c r="AA7" s="18">
        <f t="shared" si="1"/>
        <v>8.8461538461538467</v>
      </c>
      <c r="AC7" s="7">
        <f>POWER(10, 1.4)</f>
        <v>25.118864315095799</v>
      </c>
      <c r="AD7" s="7">
        <v>0.4</v>
      </c>
      <c r="AE7" s="7">
        <f t="shared" si="14"/>
        <v>4.6516415398325552</v>
      </c>
      <c r="AF7" s="7">
        <f t="shared" si="2"/>
        <v>5.4</v>
      </c>
    </row>
    <row r="8" spans="1:32" s="7" customFormat="1" x14ac:dyDescent="0.25">
      <c r="A8" s="52"/>
      <c r="B8" s="52"/>
      <c r="C8" s="52"/>
      <c r="D8" s="52"/>
      <c r="F8" s="8">
        <v>5</v>
      </c>
      <c r="G8" s="8">
        <f t="shared" si="15"/>
        <v>95</v>
      </c>
      <c r="H8" s="9">
        <v>7.5</v>
      </c>
      <c r="I8" s="8">
        <f t="shared" si="3"/>
        <v>35</v>
      </c>
      <c r="J8" s="9">
        <v>1.0588235399999999</v>
      </c>
      <c r="K8" s="8">
        <f t="shared" si="16"/>
        <v>5</v>
      </c>
      <c r="L8" s="9">
        <v>1.1764705799999999</v>
      </c>
      <c r="M8" s="8">
        <f t="shared" si="4"/>
        <v>5</v>
      </c>
      <c r="N8" s="9">
        <v>0.58823526999999998</v>
      </c>
      <c r="O8" s="8">
        <f t="shared" si="5"/>
        <v>0</v>
      </c>
      <c r="P8" s="8">
        <f t="shared" si="6"/>
        <v>140</v>
      </c>
      <c r="Q8" s="18">
        <f t="shared" si="7"/>
        <v>3</v>
      </c>
      <c r="S8" s="7">
        <f t="shared" si="8"/>
        <v>19.5</v>
      </c>
      <c r="T8" s="7">
        <f t="shared" si="9"/>
        <v>39</v>
      </c>
      <c r="U8" s="7">
        <f t="shared" si="10"/>
        <v>26.25</v>
      </c>
      <c r="V8" s="18">
        <f t="shared" si="11"/>
        <v>52.5</v>
      </c>
      <c r="X8" s="7">
        <f t="shared" si="12"/>
        <v>40</v>
      </c>
      <c r="Y8" s="7">
        <f t="shared" si="0"/>
        <v>2.0512820512820511</v>
      </c>
      <c r="Z8" s="7">
        <f t="shared" si="13"/>
        <v>15</v>
      </c>
      <c r="AA8" s="18">
        <f t="shared" si="1"/>
        <v>9.3333333333333339</v>
      </c>
      <c r="AC8" s="7">
        <f>POWER(10, 1.5)</f>
        <v>31.622776601683803</v>
      </c>
      <c r="AD8" s="7">
        <v>0.5</v>
      </c>
      <c r="AE8" s="7">
        <f t="shared" si="14"/>
        <v>5.7495957457606917</v>
      </c>
      <c r="AF8" s="7">
        <f t="shared" si="2"/>
        <v>5.5</v>
      </c>
    </row>
    <row r="9" spans="1:32" s="7" customFormat="1" x14ac:dyDescent="0.25">
      <c r="A9" s="52"/>
      <c r="B9" s="52"/>
      <c r="C9" s="52"/>
      <c r="D9" s="52"/>
      <c r="F9" s="8">
        <v>6</v>
      </c>
      <c r="G9" s="8">
        <f t="shared" si="15"/>
        <v>105</v>
      </c>
      <c r="H9" s="9">
        <v>8.8000000000000007</v>
      </c>
      <c r="I9" s="8">
        <f t="shared" si="3"/>
        <v>40</v>
      </c>
      <c r="J9" s="9">
        <v>1.23529413</v>
      </c>
      <c r="K9" s="8">
        <f t="shared" si="16"/>
        <v>5</v>
      </c>
      <c r="L9" s="9">
        <v>1.37254901</v>
      </c>
      <c r="M9" s="8">
        <f t="shared" si="4"/>
        <v>5</v>
      </c>
      <c r="N9" s="9">
        <v>0.68627448000000002</v>
      </c>
      <c r="O9" s="8">
        <f t="shared" si="5"/>
        <v>0</v>
      </c>
      <c r="P9" s="8">
        <f t="shared" si="6"/>
        <v>155</v>
      </c>
      <c r="Q9" s="18">
        <f t="shared" si="7"/>
        <v>3.5999999999999996</v>
      </c>
      <c r="S9" s="7">
        <f t="shared" si="8"/>
        <v>20.399999999999999</v>
      </c>
      <c r="T9" s="7">
        <f t="shared" si="9"/>
        <v>40.799999999999997</v>
      </c>
      <c r="U9" s="7">
        <f t="shared" si="10"/>
        <v>28.2</v>
      </c>
      <c r="V9" s="18">
        <f t="shared" si="11"/>
        <v>56.4</v>
      </c>
      <c r="X9" s="7">
        <f t="shared" si="12"/>
        <v>44</v>
      </c>
      <c r="Y9" s="7">
        <f t="shared" si="0"/>
        <v>2.1568627450980395</v>
      </c>
      <c r="Z9" s="7">
        <f t="shared" si="13"/>
        <v>17</v>
      </c>
      <c r="AA9" s="18">
        <f t="shared" si="1"/>
        <v>9.117647058823529</v>
      </c>
      <c r="AC9" s="7">
        <f xml:space="preserve"> POWER(10, 1.6)</f>
        <v>39.810717055349755</v>
      </c>
      <c r="AD9" s="7">
        <v>0.6</v>
      </c>
      <c r="AE9" s="7">
        <f t="shared" si="14"/>
        <v>7.1090566170267424</v>
      </c>
      <c r="AF9" s="7">
        <f t="shared" si="2"/>
        <v>5.6</v>
      </c>
    </row>
    <row r="10" spans="1:32" s="7" customFormat="1" x14ac:dyDescent="0.25">
      <c r="A10" s="52"/>
      <c r="B10" s="52"/>
      <c r="C10" s="52"/>
      <c r="D10" s="52"/>
      <c r="F10" s="8">
        <v>7</v>
      </c>
      <c r="G10" s="8">
        <f t="shared" si="15"/>
        <v>115</v>
      </c>
      <c r="H10" s="9">
        <v>10.1</v>
      </c>
      <c r="I10" s="8">
        <f t="shared" si="3"/>
        <v>50</v>
      </c>
      <c r="J10" s="9">
        <v>1.4117647200000001</v>
      </c>
      <c r="K10" s="8">
        <f t="shared" si="16"/>
        <v>5</v>
      </c>
      <c r="L10" s="9">
        <v>1.56862744</v>
      </c>
      <c r="M10" s="8">
        <f t="shared" si="4"/>
        <v>5</v>
      </c>
      <c r="N10" s="9">
        <v>0.78431368999999995</v>
      </c>
      <c r="O10" s="8">
        <f t="shared" si="5"/>
        <v>0</v>
      </c>
      <c r="P10" s="8">
        <f t="shared" si="6"/>
        <v>175</v>
      </c>
      <c r="Q10" s="18">
        <f t="shared" si="7"/>
        <v>4.2</v>
      </c>
      <c r="S10" s="7">
        <f t="shared" si="8"/>
        <v>21.3</v>
      </c>
      <c r="T10" s="7">
        <f t="shared" si="9"/>
        <v>42.6</v>
      </c>
      <c r="U10" s="7">
        <f t="shared" si="10"/>
        <v>30.149999999999995</v>
      </c>
      <c r="V10" s="18">
        <f t="shared" si="11"/>
        <v>60.29999999999999</v>
      </c>
      <c r="X10" s="7">
        <f t="shared" si="12"/>
        <v>48</v>
      </c>
      <c r="Y10" s="7">
        <f t="shared" si="0"/>
        <v>2.2535211267605635</v>
      </c>
      <c r="Z10" s="7">
        <f t="shared" si="13"/>
        <v>19</v>
      </c>
      <c r="AA10" s="18">
        <f t="shared" si="1"/>
        <v>9.2105263157894743</v>
      </c>
      <c r="AC10" s="7">
        <f>POWER(10, 1.7)</f>
        <v>50.118723362727238</v>
      </c>
      <c r="AD10" s="7">
        <v>0.7</v>
      </c>
      <c r="AE10" s="7">
        <f t="shared" si="14"/>
        <v>8.7927584846889886</v>
      </c>
      <c r="AF10" s="7">
        <f t="shared" si="2"/>
        <v>5.7</v>
      </c>
    </row>
    <row r="11" spans="1:32" s="7" customFormat="1" x14ac:dyDescent="0.25">
      <c r="A11" s="52"/>
      <c r="B11" s="52"/>
      <c r="C11" s="52"/>
      <c r="D11" s="52"/>
      <c r="F11" s="8">
        <v>8</v>
      </c>
      <c r="G11" s="8">
        <f t="shared" si="15"/>
        <v>125</v>
      </c>
      <c r="H11" s="9">
        <v>11.4</v>
      </c>
      <c r="I11" s="8">
        <f t="shared" si="3"/>
        <v>55</v>
      </c>
      <c r="J11" s="9">
        <v>1.58823531</v>
      </c>
      <c r="K11" s="8">
        <f t="shared" si="16"/>
        <v>5</v>
      </c>
      <c r="L11" s="9">
        <v>1.76470587</v>
      </c>
      <c r="M11" s="8">
        <f t="shared" si="4"/>
        <v>5</v>
      </c>
      <c r="N11" s="9">
        <v>0.8823529</v>
      </c>
      <c r="O11" s="8">
        <f t="shared" si="5"/>
        <v>0</v>
      </c>
      <c r="P11" s="8">
        <f t="shared" si="6"/>
        <v>190</v>
      </c>
      <c r="Q11" s="18">
        <f t="shared" si="7"/>
        <v>4.8</v>
      </c>
      <c r="S11" s="7">
        <f t="shared" si="8"/>
        <v>22.2</v>
      </c>
      <c r="T11" s="7">
        <f t="shared" si="9"/>
        <v>44.4</v>
      </c>
      <c r="U11" s="7">
        <f t="shared" si="10"/>
        <v>32.1</v>
      </c>
      <c r="V11" s="18">
        <f t="shared" si="11"/>
        <v>64.2</v>
      </c>
      <c r="X11" s="7">
        <f t="shared" si="12"/>
        <v>52</v>
      </c>
      <c r="Y11" s="7">
        <f t="shared" si="0"/>
        <v>2.3423423423423424</v>
      </c>
      <c r="Z11" s="7">
        <f t="shared" si="13"/>
        <v>21</v>
      </c>
      <c r="AA11" s="18">
        <f t="shared" si="1"/>
        <v>9.0476190476190474</v>
      </c>
      <c r="AC11" s="7">
        <f>POWER(10, 1.8)</f>
        <v>63.095734448019364</v>
      </c>
      <c r="AD11" s="7">
        <v>0.8</v>
      </c>
      <c r="AE11" s="7">
        <f t="shared" si="14"/>
        <v>10.878574904830925</v>
      </c>
      <c r="AF11" s="7">
        <f t="shared" si="2"/>
        <v>5.8</v>
      </c>
    </row>
    <row r="12" spans="1:32" s="7" customFormat="1" x14ac:dyDescent="0.25">
      <c r="A12" s="52"/>
      <c r="B12" s="52"/>
      <c r="C12" s="52"/>
      <c r="D12" s="52"/>
      <c r="F12" s="8">
        <v>9</v>
      </c>
      <c r="G12" s="8">
        <f t="shared" si="15"/>
        <v>135</v>
      </c>
      <c r="H12" s="9">
        <v>12.7</v>
      </c>
      <c r="I12" s="8">
        <f t="shared" si="3"/>
        <v>60</v>
      </c>
      <c r="J12" s="9">
        <v>1.7647059</v>
      </c>
      <c r="K12" s="8">
        <f t="shared" si="16"/>
        <v>5</v>
      </c>
      <c r="L12" s="9">
        <v>1.9607843</v>
      </c>
      <c r="M12" s="8">
        <f t="shared" si="4"/>
        <v>5</v>
      </c>
      <c r="N12" s="9">
        <v>0.98039211000000004</v>
      </c>
      <c r="O12" s="8">
        <f t="shared" si="5"/>
        <v>0</v>
      </c>
      <c r="P12" s="8">
        <f t="shared" si="6"/>
        <v>205</v>
      </c>
      <c r="Q12" s="18">
        <f t="shared" si="7"/>
        <v>5.3999999999999995</v>
      </c>
      <c r="S12" s="7">
        <f t="shared" si="8"/>
        <v>23.1</v>
      </c>
      <c r="T12" s="7">
        <f t="shared" si="9"/>
        <v>46.2</v>
      </c>
      <c r="U12" s="7">
        <f t="shared" si="10"/>
        <v>34.049999999999997</v>
      </c>
      <c r="V12" s="18">
        <f t="shared" si="11"/>
        <v>68.099999999999994</v>
      </c>
      <c r="X12" s="7">
        <f t="shared" si="12"/>
        <v>56</v>
      </c>
      <c r="Y12" s="7">
        <f t="shared" si="0"/>
        <v>2.4242424242424243</v>
      </c>
      <c r="Z12" s="7">
        <f t="shared" si="13"/>
        <v>23</v>
      </c>
      <c r="AA12" s="18">
        <f t="shared" si="1"/>
        <v>8.9130434782608692</v>
      </c>
      <c r="AC12" s="7">
        <f xml:space="preserve"> POWER(10, 1.9)</f>
        <v>79.432823472428197</v>
      </c>
      <c r="AD12" s="7">
        <v>0.9</v>
      </c>
      <c r="AE12" s="7">
        <f t="shared" si="14"/>
        <v>13.463190419055627</v>
      </c>
      <c r="AF12" s="7">
        <f t="shared" si="2"/>
        <v>5.9</v>
      </c>
    </row>
    <row r="13" spans="1:32" s="7" customFormat="1" x14ac:dyDescent="0.25">
      <c r="A13" s="52"/>
      <c r="B13" s="52"/>
      <c r="C13" s="52"/>
      <c r="D13" s="52"/>
      <c r="F13" s="8">
        <v>10</v>
      </c>
      <c r="G13" s="8">
        <f t="shared" si="15"/>
        <v>145</v>
      </c>
      <c r="H13" s="9">
        <v>14</v>
      </c>
      <c r="I13" s="8">
        <f t="shared" si="3"/>
        <v>70</v>
      </c>
      <c r="J13" s="9">
        <v>1.9411764899999999</v>
      </c>
      <c r="K13" s="8">
        <f t="shared" si="16"/>
        <v>5</v>
      </c>
      <c r="L13" s="9">
        <v>2.1568627299999998</v>
      </c>
      <c r="M13" s="8">
        <f t="shared" si="4"/>
        <v>10</v>
      </c>
      <c r="N13" s="9">
        <v>1.07843132</v>
      </c>
      <c r="O13" s="8">
        <f t="shared" si="5"/>
        <v>5</v>
      </c>
      <c r="P13" s="8">
        <f t="shared" si="6"/>
        <v>235</v>
      </c>
      <c r="Q13" s="18">
        <f t="shared" si="7"/>
        <v>6</v>
      </c>
      <c r="S13" s="7">
        <f t="shared" si="8"/>
        <v>24</v>
      </c>
      <c r="T13" s="7">
        <f t="shared" si="9"/>
        <v>48</v>
      </c>
      <c r="U13" s="7">
        <f t="shared" si="10"/>
        <v>36.000000000000007</v>
      </c>
      <c r="V13" s="18">
        <f t="shared" si="11"/>
        <v>72.000000000000014</v>
      </c>
      <c r="X13" s="7">
        <f t="shared" si="12"/>
        <v>60</v>
      </c>
      <c r="Y13" s="7">
        <f t="shared" si="0"/>
        <v>2.5</v>
      </c>
      <c r="Z13" s="7">
        <f t="shared" si="13"/>
        <v>25</v>
      </c>
      <c r="AA13" s="18">
        <f t="shared" si="1"/>
        <v>9.4</v>
      </c>
      <c r="AC13" s="7">
        <f>POWER(10, 2)</f>
        <v>100</v>
      </c>
      <c r="AD13" s="7">
        <v>1</v>
      </c>
      <c r="AE13" s="7">
        <f t="shared" si="14"/>
        <v>16.666666666666668</v>
      </c>
      <c r="AF13" s="7">
        <f t="shared" si="2"/>
        <v>6</v>
      </c>
    </row>
    <row r="14" spans="1:32" s="7" customFormat="1" x14ac:dyDescent="0.25">
      <c r="A14" s="52"/>
      <c r="B14" s="52"/>
      <c r="C14" s="52"/>
      <c r="D14" s="52"/>
      <c r="F14" s="8">
        <v>11</v>
      </c>
      <c r="G14" s="8">
        <f t="shared" si="15"/>
        <v>155</v>
      </c>
      <c r="H14" s="9">
        <v>15.3</v>
      </c>
      <c r="I14" s="8">
        <f t="shared" si="3"/>
        <v>75</v>
      </c>
      <c r="J14" s="9">
        <v>2.1176470799999998</v>
      </c>
      <c r="K14" s="8">
        <f t="shared" si="16"/>
        <v>10</v>
      </c>
      <c r="L14" s="9">
        <v>2.3529411599999999</v>
      </c>
      <c r="M14" s="8">
        <f t="shared" si="4"/>
        <v>10</v>
      </c>
      <c r="N14" s="9">
        <v>1.17647053</v>
      </c>
      <c r="O14" s="8">
        <f t="shared" si="5"/>
        <v>5</v>
      </c>
      <c r="P14" s="8">
        <f t="shared" si="6"/>
        <v>255</v>
      </c>
      <c r="Q14" s="18">
        <f t="shared" si="7"/>
        <v>6.6</v>
      </c>
      <c r="S14" s="7">
        <f t="shared" si="8"/>
        <v>24.900000000000002</v>
      </c>
      <c r="T14" s="7">
        <f t="shared" si="9"/>
        <v>49.800000000000004</v>
      </c>
      <c r="U14" s="7">
        <f t="shared" si="10"/>
        <v>37.950000000000003</v>
      </c>
      <c r="V14" s="18">
        <f t="shared" si="11"/>
        <v>75.900000000000006</v>
      </c>
      <c r="X14" s="7">
        <f t="shared" si="12"/>
        <v>64</v>
      </c>
      <c r="Y14" s="7">
        <f t="shared" si="0"/>
        <v>2.570281124497992</v>
      </c>
      <c r="Z14" s="7">
        <f t="shared" si="13"/>
        <v>27</v>
      </c>
      <c r="AA14" s="18">
        <f t="shared" si="1"/>
        <v>9.4444444444444446</v>
      </c>
      <c r="AC14" s="7">
        <f>POWER(10, 2.1)</f>
        <v>125.89254117941677</v>
      </c>
      <c r="AD14" s="7">
        <v>1.1000000000000001</v>
      </c>
      <c r="AE14" s="7">
        <f t="shared" si="14"/>
        <v>20.638121504822422</v>
      </c>
      <c r="AF14" s="7">
        <f t="shared" si="2"/>
        <v>6.1</v>
      </c>
    </row>
    <row r="15" spans="1:32" s="7" customFormat="1" x14ac:dyDescent="0.25">
      <c r="A15" s="52"/>
      <c r="B15" s="52"/>
      <c r="C15" s="52"/>
      <c r="D15" s="52"/>
      <c r="F15" s="8">
        <v>12</v>
      </c>
      <c r="G15" s="8">
        <f t="shared" si="15"/>
        <v>165</v>
      </c>
      <c r="H15" s="9">
        <v>16.600000000000001</v>
      </c>
      <c r="I15" s="8">
        <f t="shared" si="3"/>
        <v>80</v>
      </c>
      <c r="J15" s="9">
        <v>2.2941176699999999</v>
      </c>
      <c r="K15" s="8">
        <f t="shared" si="16"/>
        <v>10</v>
      </c>
      <c r="L15" s="9">
        <v>2.5490195899999999</v>
      </c>
      <c r="M15" s="8">
        <f t="shared" si="4"/>
        <v>10</v>
      </c>
      <c r="N15" s="9">
        <v>1.2745097400000001</v>
      </c>
      <c r="O15" s="8">
        <f t="shared" si="5"/>
        <v>5</v>
      </c>
      <c r="P15" s="8">
        <f t="shared" si="6"/>
        <v>270</v>
      </c>
      <c r="Q15" s="18">
        <f t="shared" si="7"/>
        <v>7.1999999999999993</v>
      </c>
      <c r="S15" s="7">
        <f t="shared" si="8"/>
        <v>25.8</v>
      </c>
      <c r="T15" s="7">
        <f t="shared" si="9"/>
        <v>51.6</v>
      </c>
      <c r="U15" s="7">
        <f t="shared" si="10"/>
        <v>39.9</v>
      </c>
      <c r="V15" s="18">
        <f t="shared" si="11"/>
        <v>79.8</v>
      </c>
      <c r="X15" s="7">
        <f t="shared" si="12"/>
        <v>68</v>
      </c>
      <c r="Y15" s="7">
        <f t="shared" si="0"/>
        <v>2.635658914728682</v>
      </c>
      <c r="Z15" s="7">
        <f t="shared" si="13"/>
        <v>29</v>
      </c>
      <c r="AA15" s="18">
        <f t="shared" si="1"/>
        <v>9.3103448275862064</v>
      </c>
      <c r="AC15" s="7">
        <f xml:space="preserve"> POWER(10, 2.2)</f>
        <v>158.48931924611153</v>
      </c>
      <c r="AD15" s="7">
        <v>1.2</v>
      </c>
      <c r="AE15" s="7">
        <f t="shared" si="14"/>
        <v>25.562793426792183</v>
      </c>
      <c r="AF15" s="7">
        <f t="shared" si="2"/>
        <v>6.2</v>
      </c>
    </row>
    <row r="16" spans="1:32" s="7" customFormat="1" x14ac:dyDescent="0.25">
      <c r="A16" s="10"/>
      <c r="B16" s="3"/>
      <c r="C16" s="3"/>
      <c r="D16" s="3"/>
      <c r="F16" s="8">
        <v>13</v>
      </c>
      <c r="G16" s="8">
        <f t="shared" si="15"/>
        <v>175</v>
      </c>
      <c r="H16" s="9">
        <v>17.899999999999999</v>
      </c>
      <c r="I16" s="8">
        <f t="shared" si="3"/>
        <v>85</v>
      </c>
      <c r="J16" s="9">
        <v>2.47058826</v>
      </c>
      <c r="K16" s="8">
        <f t="shared" si="16"/>
        <v>10</v>
      </c>
      <c r="L16" s="9">
        <v>2.7450980199999999</v>
      </c>
      <c r="M16" s="8">
        <f t="shared" si="4"/>
        <v>10</v>
      </c>
      <c r="N16" s="9">
        <v>1.3725489500000001</v>
      </c>
      <c r="O16" s="8">
        <f t="shared" si="5"/>
        <v>5</v>
      </c>
      <c r="P16" s="8">
        <f t="shared" si="6"/>
        <v>285</v>
      </c>
      <c r="Q16" s="18">
        <f t="shared" si="7"/>
        <v>7.8</v>
      </c>
      <c r="S16" s="7">
        <f t="shared" si="8"/>
        <v>26.7</v>
      </c>
      <c r="T16" s="7">
        <f t="shared" si="9"/>
        <v>53.4</v>
      </c>
      <c r="U16" s="7">
        <f t="shared" si="10"/>
        <v>41.85</v>
      </c>
      <c r="V16" s="18">
        <f t="shared" si="11"/>
        <v>83.7</v>
      </c>
      <c r="X16" s="7">
        <f t="shared" si="12"/>
        <v>72</v>
      </c>
      <c r="Y16" s="7">
        <f t="shared" si="0"/>
        <v>2.696629213483146</v>
      </c>
      <c r="Z16" s="7">
        <f t="shared" si="13"/>
        <v>31</v>
      </c>
      <c r="AA16" s="18">
        <f t="shared" si="1"/>
        <v>9.193548387096774</v>
      </c>
      <c r="AC16" s="7">
        <f>POWER(10, 2.3)</f>
        <v>199.52623149688802</v>
      </c>
      <c r="AD16" s="7">
        <v>1.3</v>
      </c>
      <c r="AE16" s="7">
        <f t="shared" si="14"/>
        <v>31.670830396331432</v>
      </c>
      <c r="AF16" s="7">
        <f t="shared" si="2"/>
        <v>6.3</v>
      </c>
    </row>
    <row r="17" spans="1:32" s="7" customFormat="1" x14ac:dyDescent="0.25">
      <c r="A17" s="10"/>
      <c r="B17" s="3"/>
      <c r="C17" s="3"/>
      <c r="D17" s="3"/>
      <c r="F17" s="8">
        <v>14</v>
      </c>
      <c r="G17" s="8">
        <f t="shared" si="15"/>
        <v>185</v>
      </c>
      <c r="H17" s="9">
        <v>19.2</v>
      </c>
      <c r="I17" s="8">
        <f t="shared" si="3"/>
        <v>95</v>
      </c>
      <c r="J17" s="9">
        <v>2.6470588500000001</v>
      </c>
      <c r="K17" s="8">
        <f t="shared" si="16"/>
        <v>10</v>
      </c>
      <c r="L17" s="9">
        <v>2.9411764499999999</v>
      </c>
      <c r="M17" s="8">
        <f t="shared" si="4"/>
        <v>10</v>
      </c>
      <c r="N17" s="9">
        <v>1.4705881599999999</v>
      </c>
      <c r="O17" s="8">
        <f t="shared" si="5"/>
        <v>5</v>
      </c>
      <c r="P17" s="8">
        <f t="shared" si="6"/>
        <v>305</v>
      </c>
      <c r="Q17" s="18">
        <f t="shared" si="7"/>
        <v>8.4</v>
      </c>
      <c r="S17" s="7">
        <f t="shared" si="8"/>
        <v>27.6</v>
      </c>
      <c r="T17" s="7">
        <f t="shared" si="9"/>
        <v>55.2</v>
      </c>
      <c r="U17" s="7">
        <f t="shared" si="10"/>
        <v>43.8</v>
      </c>
      <c r="V17" s="18">
        <f t="shared" si="11"/>
        <v>87.6</v>
      </c>
      <c r="X17" s="7">
        <f t="shared" si="12"/>
        <v>76</v>
      </c>
      <c r="Y17" s="7">
        <f t="shared" si="0"/>
        <v>2.7536231884057969</v>
      </c>
      <c r="Z17" s="7">
        <f t="shared" si="13"/>
        <v>33</v>
      </c>
      <c r="AA17" s="18">
        <f t="shared" si="1"/>
        <v>9.2424242424242422</v>
      </c>
      <c r="AC17" s="7">
        <f>POWER(10, 2.4)</f>
        <v>251.18864315095806</v>
      </c>
      <c r="AD17" s="7">
        <v>1.4</v>
      </c>
      <c r="AE17" s="7">
        <f t="shared" si="14"/>
        <v>39.248225492337191</v>
      </c>
      <c r="AF17" s="7">
        <f t="shared" si="2"/>
        <v>6.4000000000000012</v>
      </c>
    </row>
    <row r="18" spans="1:32" s="7" customFormat="1" x14ac:dyDescent="0.25">
      <c r="A18" s="10"/>
      <c r="B18" s="3"/>
      <c r="C18" s="3"/>
      <c r="D18" s="3"/>
      <c r="F18" s="8">
        <v>15</v>
      </c>
      <c r="G18" s="8">
        <f t="shared" si="15"/>
        <v>195</v>
      </c>
      <c r="H18" s="9">
        <v>20.5</v>
      </c>
      <c r="I18" s="8">
        <f t="shared" si="3"/>
        <v>100</v>
      </c>
      <c r="J18" s="9">
        <v>2.8235294400000002</v>
      </c>
      <c r="K18" s="8">
        <f t="shared" si="16"/>
        <v>10</v>
      </c>
      <c r="L18" s="9">
        <v>3.13725488</v>
      </c>
      <c r="M18" s="8">
        <f t="shared" si="4"/>
        <v>15</v>
      </c>
      <c r="N18" s="9">
        <v>1.56862737</v>
      </c>
      <c r="O18" s="8">
        <f t="shared" si="5"/>
        <v>5</v>
      </c>
      <c r="P18" s="8">
        <f t="shared" si="6"/>
        <v>325</v>
      </c>
      <c r="Q18" s="18">
        <f t="shared" si="7"/>
        <v>9</v>
      </c>
      <c r="S18" s="7">
        <f t="shared" si="8"/>
        <v>28.5</v>
      </c>
      <c r="T18" s="7">
        <f t="shared" si="9"/>
        <v>57</v>
      </c>
      <c r="U18" s="7">
        <f t="shared" si="10"/>
        <v>45.750000000000007</v>
      </c>
      <c r="V18" s="18">
        <f t="shared" si="11"/>
        <v>91.500000000000014</v>
      </c>
      <c r="X18" s="7">
        <f t="shared" si="12"/>
        <v>80</v>
      </c>
      <c r="Y18" s="7">
        <f t="shared" si="0"/>
        <v>2.807017543859649</v>
      </c>
      <c r="Z18" s="7">
        <f t="shared" si="13"/>
        <v>35</v>
      </c>
      <c r="AA18" s="18">
        <f t="shared" si="1"/>
        <v>9.2857142857142865</v>
      </c>
      <c r="AC18" s="7">
        <f xml:space="preserve"> POWER(10, 2.5)</f>
        <v>316.22776601683825</v>
      </c>
      <c r="AD18" s="7">
        <v>1.5</v>
      </c>
      <c r="AE18" s="7">
        <f t="shared" si="14"/>
        <v>48.650425541052037</v>
      </c>
      <c r="AF18" s="7">
        <f t="shared" si="2"/>
        <v>6.5</v>
      </c>
    </row>
    <row r="19" spans="1:32" s="7" customFormat="1" x14ac:dyDescent="0.25">
      <c r="A19" s="10"/>
      <c r="B19" s="3"/>
      <c r="C19" s="3"/>
      <c r="D19" s="3"/>
      <c r="F19" s="8">
        <v>16</v>
      </c>
      <c r="G19" s="8">
        <f t="shared" si="15"/>
        <v>205</v>
      </c>
      <c r="H19" s="9">
        <v>21.8</v>
      </c>
      <c r="I19" s="8">
        <f t="shared" si="3"/>
        <v>105</v>
      </c>
      <c r="J19" s="9">
        <v>3.0000000299999998</v>
      </c>
      <c r="K19" s="8">
        <f t="shared" si="16"/>
        <v>15</v>
      </c>
      <c r="L19" s="9">
        <v>3.33333331</v>
      </c>
      <c r="M19" s="8">
        <f t="shared" si="4"/>
        <v>15</v>
      </c>
      <c r="N19" s="9">
        <v>1.66666658</v>
      </c>
      <c r="O19" s="8">
        <f t="shared" si="5"/>
        <v>5</v>
      </c>
      <c r="P19" s="8">
        <f t="shared" si="6"/>
        <v>345</v>
      </c>
      <c r="Q19" s="18">
        <f t="shared" si="7"/>
        <v>9.6</v>
      </c>
      <c r="S19" s="7">
        <f t="shared" si="8"/>
        <v>29.4</v>
      </c>
      <c r="T19" s="7">
        <f t="shared" si="9"/>
        <v>58.8</v>
      </c>
      <c r="U19" s="7">
        <f t="shared" si="10"/>
        <v>47.7</v>
      </c>
      <c r="V19" s="18">
        <f t="shared" si="11"/>
        <v>95.4</v>
      </c>
      <c r="X19" s="7">
        <f t="shared" si="12"/>
        <v>84</v>
      </c>
      <c r="Y19" s="7">
        <f t="shared" si="0"/>
        <v>2.8571428571428572</v>
      </c>
      <c r="Z19" s="7">
        <f t="shared" si="13"/>
        <v>37</v>
      </c>
      <c r="AA19" s="18">
        <f t="shared" si="1"/>
        <v>9.3243243243243246</v>
      </c>
      <c r="AC19" s="7">
        <f>POWER(10, 2.6)</f>
        <v>398.10717055349761</v>
      </c>
      <c r="AD19" s="7">
        <v>1.6</v>
      </c>
      <c r="AE19" s="7">
        <f t="shared" si="14"/>
        <v>60.319268265681458</v>
      </c>
      <c r="AF19" s="7">
        <f t="shared" si="2"/>
        <v>6.6</v>
      </c>
    </row>
    <row r="20" spans="1:32" s="7" customFormat="1" x14ac:dyDescent="0.25">
      <c r="A20" s="10"/>
      <c r="B20" s="3"/>
      <c r="C20" s="3"/>
      <c r="D20" s="3"/>
      <c r="F20" s="8">
        <v>17</v>
      </c>
      <c r="G20" s="8">
        <f t="shared" si="15"/>
        <v>215</v>
      </c>
      <c r="H20" s="9">
        <v>23.1</v>
      </c>
      <c r="I20" s="8">
        <f t="shared" si="3"/>
        <v>115</v>
      </c>
      <c r="J20" s="9">
        <v>3.1764706199999999</v>
      </c>
      <c r="K20" s="8">
        <f t="shared" si="16"/>
        <v>15</v>
      </c>
      <c r="L20" s="9">
        <v>3.52941174</v>
      </c>
      <c r="M20" s="8">
        <f t="shared" si="4"/>
        <v>15</v>
      </c>
      <c r="N20" s="9">
        <v>1.7647057900000001</v>
      </c>
      <c r="O20" s="8">
        <f t="shared" si="5"/>
        <v>5</v>
      </c>
      <c r="P20" s="8">
        <f t="shared" si="6"/>
        <v>365</v>
      </c>
      <c r="Q20" s="18">
        <f t="shared" si="7"/>
        <v>10.199999999999999</v>
      </c>
      <c r="S20" s="7">
        <f t="shared" si="8"/>
        <v>30.3</v>
      </c>
      <c r="T20" s="7">
        <f t="shared" si="9"/>
        <v>60.6</v>
      </c>
      <c r="U20" s="7">
        <f t="shared" si="10"/>
        <v>49.65</v>
      </c>
      <c r="V20" s="18">
        <f t="shared" si="11"/>
        <v>99.3</v>
      </c>
      <c r="X20" s="7">
        <f t="shared" si="12"/>
        <v>88</v>
      </c>
      <c r="Y20" s="7">
        <f t="shared" si="0"/>
        <v>2.9042904290429044</v>
      </c>
      <c r="Z20" s="7">
        <f t="shared" si="13"/>
        <v>39</v>
      </c>
      <c r="AA20" s="18">
        <f t="shared" si="1"/>
        <v>9.3589743589743595</v>
      </c>
      <c r="AC20" s="7">
        <f>POWER(10, 2.7)</f>
        <v>501.18723362727269</v>
      </c>
      <c r="AD20" s="7">
        <v>1.7</v>
      </c>
      <c r="AE20" s="7">
        <f t="shared" si="14"/>
        <v>74.804064720488455</v>
      </c>
      <c r="AF20" s="7">
        <f t="shared" si="2"/>
        <v>6.7</v>
      </c>
    </row>
    <row r="21" spans="1:32" s="7" customFormat="1" x14ac:dyDescent="0.25">
      <c r="A21" s="10"/>
      <c r="B21" s="3"/>
      <c r="C21" s="3"/>
      <c r="D21" s="3"/>
      <c r="F21" s="8">
        <v>18</v>
      </c>
      <c r="G21" s="8">
        <f t="shared" si="15"/>
        <v>225</v>
      </c>
      <c r="H21" s="9">
        <v>24.4</v>
      </c>
      <c r="I21" s="8">
        <f t="shared" si="3"/>
        <v>120</v>
      </c>
      <c r="J21" s="9">
        <v>3.35294121</v>
      </c>
      <c r="K21" s="8">
        <f t="shared" si="16"/>
        <v>15</v>
      </c>
      <c r="L21" s="9">
        <v>3.72549017</v>
      </c>
      <c r="M21" s="8">
        <f t="shared" si="4"/>
        <v>15</v>
      </c>
      <c r="N21" s="9">
        <v>1.8627450000000001</v>
      </c>
      <c r="O21" s="8">
        <f t="shared" si="5"/>
        <v>5</v>
      </c>
      <c r="P21" s="8">
        <f t="shared" si="6"/>
        <v>380</v>
      </c>
      <c r="Q21" s="18">
        <f t="shared" si="7"/>
        <v>10.799999999999999</v>
      </c>
      <c r="S21" s="7">
        <f t="shared" si="8"/>
        <v>31.2</v>
      </c>
      <c r="T21" s="7">
        <f t="shared" si="9"/>
        <v>62.4</v>
      </c>
      <c r="U21" s="7">
        <f t="shared" si="10"/>
        <v>51.6</v>
      </c>
      <c r="V21" s="18">
        <f t="shared" si="11"/>
        <v>103.2</v>
      </c>
      <c r="X21" s="7">
        <f t="shared" si="12"/>
        <v>92</v>
      </c>
      <c r="Y21" s="7">
        <f t="shared" si="0"/>
        <v>2.9487179487179489</v>
      </c>
      <c r="Z21" s="7">
        <f t="shared" si="13"/>
        <v>41</v>
      </c>
      <c r="AA21" s="18">
        <f t="shared" si="1"/>
        <v>9.2682926829268286</v>
      </c>
      <c r="AC21" s="7">
        <f xml:space="preserve"> POWER(10, 2.8)</f>
        <v>630.95734448019323</v>
      </c>
      <c r="AD21" s="7">
        <v>1.8</v>
      </c>
      <c r="AE21" s="7">
        <f t="shared" si="14"/>
        <v>92.787844776499</v>
      </c>
      <c r="AF21" s="7">
        <f t="shared" si="2"/>
        <v>6.8000000000000007</v>
      </c>
    </row>
    <row r="22" spans="1:32" s="7" customFormat="1" x14ac:dyDescent="0.25">
      <c r="A22" s="10"/>
      <c r="B22" s="3"/>
      <c r="C22" s="3"/>
      <c r="D22" s="3"/>
      <c r="F22" s="8">
        <v>19</v>
      </c>
      <c r="G22" s="8">
        <f t="shared" si="15"/>
        <v>235</v>
      </c>
      <c r="H22" s="9">
        <v>25.7</v>
      </c>
      <c r="I22" s="8">
        <f t="shared" si="3"/>
        <v>125</v>
      </c>
      <c r="J22" s="9">
        <v>3.5294118000000001</v>
      </c>
      <c r="K22" s="8">
        <f t="shared" si="16"/>
        <v>15</v>
      </c>
      <c r="L22" s="9">
        <v>3.9215686000000001</v>
      </c>
      <c r="M22" s="8">
        <f t="shared" si="4"/>
        <v>15</v>
      </c>
      <c r="N22" s="9">
        <v>1.9607842099999999</v>
      </c>
      <c r="O22" s="8">
        <f t="shared" si="5"/>
        <v>5</v>
      </c>
      <c r="P22" s="8">
        <f t="shared" si="6"/>
        <v>395</v>
      </c>
      <c r="Q22" s="18">
        <f t="shared" si="7"/>
        <v>11.4</v>
      </c>
      <c r="S22" s="7">
        <f t="shared" si="8"/>
        <v>32.1</v>
      </c>
      <c r="T22" s="7">
        <f t="shared" si="9"/>
        <v>64.2</v>
      </c>
      <c r="U22" s="7">
        <f t="shared" si="10"/>
        <v>53.55</v>
      </c>
      <c r="V22" s="18">
        <f t="shared" si="11"/>
        <v>107.1</v>
      </c>
      <c r="X22" s="7">
        <f t="shared" si="12"/>
        <v>96</v>
      </c>
      <c r="Y22" s="7">
        <f t="shared" si="0"/>
        <v>2.9906542056074765</v>
      </c>
      <c r="Z22" s="7">
        <f t="shared" si="13"/>
        <v>43</v>
      </c>
      <c r="AA22" s="18">
        <f t="shared" si="1"/>
        <v>9.1860465116279073</v>
      </c>
      <c r="AC22" s="7">
        <f>POWER(10, 2.9)</f>
        <v>794.32823472428208</v>
      </c>
      <c r="AD22" s="7">
        <v>1.9</v>
      </c>
      <c r="AE22" s="7">
        <f t="shared" si="14"/>
        <v>115.12003401801189</v>
      </c>
      <c r="AF22" s="7">
        <f t="shared" si="2"/>
        <v>6.9</v>
      </c>
    </row>
    <row r="23" spans="1:32" s="7" customFormat="1" x14ac:dyDescent="0.25">
      <c r="A23" s="10"/>
      <c r="B23" s="3"/>
      <c r="C23" s="3"/>
      <c r="D23" s="3"/>
      <c r="F23" s="8">
        <v>20</v>
      </c>
      <c r="G23" s="8">
        <f t="shared" si="15"/>
        <v>245</v>
      </c>
      <c r="H23" s="9">
        <v>27</v>
      </c>
      <c r="I23" s="8">
        <f t="shared" si="3"/>
        <v>135</v>
      </c>
      <c r="J23" s="9">
        <v>3.7058823900000002</v>
      </c>
      <c r="K23" s="8">
        <f t="shared" si="16"/>
        <v>15</v>
      </c>
      <c r="L23" s="9">
        <v>4.1176470299999997</v>
      </c>
      <c r="M23" s="8">
        <f t="shared" si="4"/>
        <v>20</v>
      </c>
      <c r="N23" s="9">
        <v>2.05882342</v>
      </c>
      <c r="O23" s="8">
        <f t="shared" si="5"/>
        <v>10</v>
      </c>
      <c r="P23" s="8">
        <f t="shared" si="6"/>
        <v>425</v>
      </c>
      <c r="Q23" s="18">
        <f t="shared" si="7"/>
        <v>12</v>
      </c>
      <c r="S23" s="7">
        <f t="shared" si="8"/>
        <v>33</v>
      </c>
      <c r="T23" s="7">
        <f t="shared" si="9"/>
        <v>66</v>
      </c>
      <c r="U23" s="7">
        <f t="shared" si="10"/>
        <v>55.5</v>
      </c>
      <c r="V23" s="18">
        <f t="shared" si="11"/>
        <v>111</v>
      </c>
      <c r="X23" s="7">
        <f t="shared" si="12"/>
        <v>100</v>
      </c>
      <c r="Y23" s="7">
        <f t="shared" si="0"/>
        <v>3.0303030303030303</v>
      </c>
      <c r="Z23" s="7">
        <f t="shared" si="13"/>
        <v>45</v>
      </c>
      <c r="AA23" s="18">
        <f t="shared" si="1"/>
        <v>9.4444444444444446</v>
      </c>
      <c r="AC23" s="7">
        <f>POWER(10, 3)</f>
        <v>1000</v>
      </c>
      <c r="AD23" s="7">
        <v>2</v>
      </c>
      <c r="AE23" s="7">
        <f t="shared" si="14"/>
        <v>142.85714285714286</v>
      </c>
      <c r="AF23" s="7">
        <f t="shared" si="2"/>
        <v>7</v>
      </c>
    </row>
    <row r="24" spans="1:32" s="7" customFormat="1" x14ac:dyDescent="0.25">
      <c r="A24" s="10"/>
      <c r="B24" s="3"/>
      <c r="C24" s="3"/>
      <c r="D24" s="3"/>
      <c r="F24" s="8">
        <v>21</v>
      </c>
      <c r="G24" s="8">
        <f t="shared" si="15"/>
        <v>255</v>
      </c>
      <c r="H24" s="9">
        <v>28.3</v>
      </c>
      <c r="I24" s="8">
        <f t="shared" si="3"/>
        <v>140</v>
      </c>
      <c r="J24" s="9">
        <v>3.8823529799999998</v>
      </c>
      <c r="K24" s="8">
        <f t="shared" si="16"/>
        <v>15</v>
      </c>
      <c r="L24" s="9">
        <v>4.3137254599999997</v>
      </c>
      <c r="M24" s="8">
        <f t="shared" si="4"/>
        <v>20</v>
      </c>
      <c r="N24" s="9">
        <v>2.15686263</v>
      </c>
      <c r="O24" s="8">
        <f t="shared" si="5"/>
        <v>10</v>
      </c>
      <c r="P24" s="8">
        <f t="shared" si="6"/>
        <v>440</v>
      </c>
      <c r="Q24" s="18">
        <f t="shared" si="7"/>
        <v>12.6</v>
      </c>
      <c r="S24" s="7">
        <f t="shared" si="8"/>
        <v>33.899999999999991</v>
      </c>
      <c r="T24" s="7">
        <f t="shared" si="9"/>
        <v>67.799999999999983</v>
      </c>
      <c r="U24" s="7">
        <f t="shared" si="10"/>
        <v>57.45</v>
      </c>
      <c r="V24" s="18">
        <f t="shared" si="11"/>
        <v>114.9</v>
      </c>
      <c r="X24" s="7">
        <f t="shared" si="12"/>
        <v>104</v>
      </c>
      <c r="Y24" s="7">
        <f t="shared" si="0"/>
        <v>3.0678466076696171</v>
      </c>
      <c r="Z24" s="7">
        <f t="shared" si="13"/>
        <v>47</v>
      </c>
      <c r="AA24" s="18">
        <f t="shared" si="1"/>
        <v>9.3617021276595747</v>
      </c>
      <c r="AC24" s="7">
        <f xml:space="preserve"> POWER(10, 3.1)</f>
        <v>1258.925411794168</v>
      </c>
      <c r="AD24" s="7">
        <v>2.1</v>
      </c>
      <c r="AE24" s="7">
        <f t="shared" si="14"/>
        <v>177.31343828086875</v>
      </c>
      <c r="AF24" s="7">
        <f t="shared" si="2"/>
        <v>7.0999999999999988</v>
      </c>
    </row>
    <row r="25" spans="1:32" s="7" customFormat="1" x14ac:dyDescent="0.25">
      <c r="A25" s="10"/>
      <c r="B25" s="3"/>
      <c r="C25" s="3"/>
      <c r="D25" s="3"/>
      <c r="F25" s="8">
        <v>22</v>
      </c>
      <c r="G25" s="8">
        <f t="shared" si="15"/>
        <v>265</v>
      </c>
      <c r="H25" s="9">
        <v>29.6</v>
      </c>
      <c r="I25" s="8">
        <f t="shared" si="3"/>
        <v>145</v>
      </c>
      <c r="J25" s="9">
        <v>4.0588235700000004</v>
      </c>
      <c r="K25" s="8">
        <f t="shared" si="16"/>
        <v>20</v>
      </c>
      <c r="L25" s="9">
        <v>4.5098038899999997</v>
      </c>
      <c r="M25" s="8">
        <f t="shared" si="4"/>
        <v>20</v>
      </c>
      <c r="N25" s="9">
        <v>2.25490184</v>
      </c>
      <c r="O25" s="8">
        <f t="shared" si="5"/>
        <v>10</v>
      </c>
      <c r="P25" s="8">
        <f t="shared" si="6"/>
        <v>460</v>
      </c>
      <c r="Q25" s="18">
        <f t="shared" si="7"/>
        <v>13.2</v>
      </c>
      <c r="S25" s="7">
        <f t="shared" si="8"/>
        <v>34.800000000000004</v>
      </c>
      <c r="T25" s="7">
        <f t="shared" si="9"/>
        <v>69.600000000000009</v>
      </c>
      <c r="U25" s="7">
        <f t="shared" si="10"/>
        <v>59.400000000000013</v>
      </c>
      <c r="V25" s="18">
        <f t="shared" si="11"/>
        <v>118.80000000000003</v>
      </c>
      <c r="X25" s="7">
        <f t="shared" si="12"/>
        <v>108</v>
      </c>
      <c r="Y25" s="7">
        <f t="shared" si="0"/>
        <v>3.1034482758620685</v>
      </c>
      <c r="Z25" s="7">
        <f t="shared" si="13"/>
        <v>49</v>
      </c>
      <c r="AA25" s="18">
        <f t="shared" si="1"/>
        <v>9.387755102040817</v>
      </c>
      <c r="AC25" s="7">
        <f>POWER(10, 3.2)</f>
        <v>1584.8931924611156</v>
      </c>
      <c r="AD25" s="7">
        <v>2.2000000000000002</v>
      </c>
      <c r="AE25" s="7">
        <f t="shared" si="14"/>
        <v>220.12405450848829</v>
      </c>
      <c r="AF25" s="7">
        <f t="shared" si="2"/>
        <v>7.2</v>
      </c>
    </row>
    <row r="26" spans="1:32" s="7" customFormat="1" x14ac:dyDescent="0.25">
      <c r="A26" s="10"/>
      <c r="B26" s="3"/>
      <c r="C26" s="3"/>
      <c r="D26" s="3"/>
      <c r="F26" s="8">
        <v>23</v>
      </c>
      <c r="G26" s="8">
        <f t="shared" si="15"/>
        <v>275</v>
      </c>
      <c r="H26" s="9">
        <v>30.9</v>
      </c>
      <c r="I26" s="8">
        <f t="shared" si="3"/>
        <v>150</v>
      </c>
      <c r="J26" s="9">
        <v>4.2352941599999996</v>
      </c>
      <c r="K26" s="8">
        <f t="shared" si="16"/>
        <v>20</v>
      </c>
      <c r="L26" s="9">
        <v>4.7058823199999997</v>
      </c>
      <c r="M26" s="8">
        <f t="shared" si="4"/>
        <v>20</v>
      </c>
      <c r="N26" s="9">
        <v>2.3529410500000001</v>
      </c>
      <c r="O26" s="8">
        <f t="shared" si="5"/>
        <v>10</v>
      </c>
      <c r="P26" s="8">
        <f t="shared" si="6"/>
        <v>475</v>
      </c>
      <c r="Q26" s="18">
        <f t="shared" si="7"/>
        <v>13.799999999999999</v>
      </c>
      <c r="S26" s="7">
        <f t="shared" si="8"/>
        <v>35.700000000000003</v>
      </c>
      <c r="T26" s="7">
        <f t="shared" si="9"/>
        <v>71.400000000000006</v>
      </c>
      <c r="U26" s="7">
        <f t="shared" si="10"/>
        <v>61.35</v>
      </c>
      <c r="V26" s="18">
        <f t="shared" si="11"/>
        <v>122.7</v>
      </c>
      <c r="X26" s="7">
        <f t="shared" si="12"/>
        <v>112</v>
      </c>
      <c r="Y26" s="7">
        <f t="shared" si="0"/>
        <v>3.1372549019607843</v>
      </c>
      <c r="Z26" s="7">
        <f t="shared" si="13"/>
        <v>51</v>
      </c>
      <c r="AA26" s="18">
        <f t="shared" si="1"/>
        <v>9.3137254901960791</v>
      </c>
      <c r="AC26" s="7">
        <f>POWER(10, 3.3)</f>
        <v>1995.2623149688804</v>
      </c>
      <c r="AD26" s="7">
        <v>2.2999999999999998</v>
      </c>
      <c r="AE26" s="7">
        <f t="shared" si="14"/>
        <v>273.3236047902576</v>
      </c>
      <c r="AF26" s="7">
        <f t="shared" si="2"/>
        <v>7.3</v>
      </c>
    </row>
    <row r="27" spans="1:32" s="7" customFormat="1" x14ac:dyDescent="0.25">
      <c r="A27" s="10"/>
      <c r="B27" s="3"/>
      <c r="C27" s="3"/>
      <c r="D27" s="3"/>
      <c r="F27" s="8">
        <v>24</v>
      </c>
      <c r="G27" s="8">
        <f t="shared" si="15"/>
        <v>285</v>
      </c>
      <c r="H27" s="9">
        <v>32.200000000000003</v>
      </c>
      <c r="I27" s="8">
        <f t="shared" si="3"/>
        <v>160</v>
      </c>
      <c r="J27" s="9">
        <v>4.4117647499999997</v>
      </c>
      <c r="K27" s="8">
        <f t="shared" si="16"/>
        <v>20</v>
      </c>
      <c r="L27" s="9">
        <v>4.9019607499999998</v>
      </c>
      <c r="M27" s="8">
        <f t="shared" si="4"/>
        <v>20</v>
      </c>
      <c r="N27" s="9">
        <v>2.4509802600000001</v>
      </c>
      <c r="O27" s="8">
        <f t="shared" si="5"/>
        <v>10</v>
      </c>
      <c r="P27" s="8">
        <f t="shared" si="6"/>
        <v>495</v>
      </c>
      <c r="Q27" s="18">
        <f t="shared" si="7"/>
        <v>14.399999999999999</v>
      </c>
      <c r="S27" s="7">
        <f t="shared" si="8"/>
        <v>36.6</v>
      </c>
      <c r="T27" s="7">
        <f t="shared" si="9"/>
        <v>73.2</v>
      </c>
      <c r="U27" s="7">
        <f t="shared" si="10"/>
        <v>63.300000000000011</v>
      </c>
      <c r="V27" s="18">
        <f t="shared" si="11"/>
        <v>126.60000000000002</v>
      </c>
      <c r="X27" s="7">
        <f t="shared" si="12"/>
        <v>116</v>
      </c>
      <c r="Y27" s="7">
        <f t="shared" si="0"/>
        <v>3.1693989071038251</v>
      </c>
      <c r="Z27" s="7">
        <f t="shared" si="13"/>
        <v>53</v>
      </c>
      <c r="AA27" s="18">
        <f t="shared" si="1"/>
        <v>9.3396226415094343</v>
      </c>
      <c r="AC27" s="7">
        <f xml:space="preserve"> POWER(10, 3.4)</f>
        <v>2511.8864315095811</v>
      </c>
      <c r="AD27" s="7">
        <v>2.4</v>
      </c>
      <c r="AE27" s="7">
        <f t="shared" si="14"/>
        <v>339.44411236615957</v>
      </c>
      <c r="AF27" s="7">
        <f t="shared" si="2"/>
        <v>7.4000000000000012</v>
      </c>
    </row>
    <row r="28" spans="1:32" s="7" customFormat="1" x14ac:dyDescent="0.25">
      <c r="A28" s="10"/>
      <c r="B28" s="3"/>
      <c r="C28" s="3"/>
      <c r="D28" s="3"/>
      <c r="F28" s="8">
        <v>25</v>
      </c>
      <c r="G28" s="8">
        <f t="shared" si="15"/>
        <v>295</v>
      </c>
      <c r="H28" s="9">
        <v>33.5</v>
      </c>
      <c r="I28" s="8">
        <f t="shared" si="3"/>
        <v>165</v>
      </c>
      <c r="J28" s="9">
        <v>4.5882353399999998</v>
      </c>
      <c r="K28" s="8">
        <f t="shared" si="16"/>
        <v>20</v>
      </c>
      <c r="L28" s="9">
        <v>5.0980391799999998</v>
      </c>
      <c r="M28" s="8">
        <f t="shared" si="4"/>
        <v>25</v>
      </c>
      <c r="N28" s="9">
        <v>2.5490194700000002</v>
      </c>
      <c r="O28" s="8">
        <f t="shared" si="5"/>
        <v>10</v>
      </c>
      <c r="P28" s="8">
        <f t="shared" si="6"/>
        <v>515</v>
      </c>
      <c r="Q28" s="18">
        <f t="shared" si="7"/>
        <v>15</v>
      </c>
      <c r="S28" s="7">
        <f t="shared" si="8"/>
        <v>37.5</v>
      </c>
      <c r="T28" s="7">
        <f t="shared" si="9"/>
        <v>75</v>
      </c>
      <c r="U28" s="7">
        <f t="shared" si="10"/>
        <v>65.25</v>
      </c>
      <c r="V28" s="18">
        <f t="shared" si="11"/>
        <v>130.5</v>
      </c>
      <c r="X28" s="7">
        <f t="shared" si="12"/>
        <v>120</v>
      </c>
      <c r="Y28" s="7">
        <f t="shared" si="0"/>
        <v>3.2</v>
      </c>
      <c r="Z28" s="7">
        <f t="shared" si="13"/>
        <v>55</v>
      </c>
      <c r="AA28" s="18">
        <f t="shared" si="1"/>
        <v>9.3636363636363633</v>
      </c>
      <c r="AC28" s="7">
        <f>POWER(10, 3.5)</f>
        <v>3162.2776601683804</v>
      </c>
      <c r="AD28" s="7">
        <v>2.5</v>
      </c>
      <c r="AE28" s="7">
        <f t="shared" si="14"/>
        <v>421.63702135578404</v>
      </c>
      <c r="AF28" s="7">
        <f t="shared" si="2"/>
        <v>7.5</v>
      </c>
    </row>
    <row r="29" spans="1:32" s="7" customFormat="1" x14ac:dyDescent="0.25">
      <c r="A29" s="10"/>
      <c r="B29" s="3"/>
      <c r="C29" s="3"/>
      <c r="D29" s="3"/>
      <c r="F29" s="8">
        <v>26</v>
      </c>
      <c r="G29" s="8">
        <f t="shared" si="15"/>
        <v>305</v>
      </c>
      <c r="H29" s="9">
        <v>34.799999999999997</v>
      </c>
      <c r="I29" s="8">
        <f t="shared" si="3"/>
        <v>170</v>
      </c>
      <c r="J29" s="9">
        <v>4.7647059299999999</v>
      </c>
      <c r="K29" s="8">
        <f t="shared" si="16"/>
        <v>20</v>
      </c>
      <c r="L29" s="9">
        <v>5.2941176099999998</v>
      </c>
      <c r="M29" s="8">
        <f t="shared" si="4"/>
        <v>25</v>
      </c>
      <c r="N29" s="9">
        <v>2.6470586800000002</v>
      </c>
      <c r="O29" s="8">
        <f t="shared" si="5"/>
        <v>10</v>
      </c>
      <c r="P29" s="8">
        <f t="shared" si="6"/>
        <v>530</v>
      </c>
      <c r="Q29" s="18">
        <f t="shared" si="7"/>
        <v>15.6</v>
      </c>
      <c r="S29" s="7">
        <f t="shared" si="8"/>
        <v>38.4</v>
      </c>
      <c r="T29" s="7">
        <f t="shared" si="9"/>
        <v>76.8</v>
      </c>
      <c r="U29" s="7">
        <f t="shared" si="10"/>
        <v>67.200000000000017</v>
      </c>
      <c r="V29" s="18">
        <f t="shared" si="11"/>
        <v>134.40000000000003</v>
      </c>
      <c r="X29" s="7">
        <f t="shared" si="12"/>
        <v>124</v>
      </c>
      <c r="Y29" s="7">
        <f t="shared" si="0"/>
        <v>3.229166666666667</v>
      </c>
      <c r="Z29" s="7">
        <f t="shared" si="13"/>
        <v>57</v>
      </c>
      <c r="AA29" s="18">
        <f t="shared" si="1"/>
        <v>9.2982456140350873</v>
      </c>
      <c r="AC29" s="7">
        <f>POWER(10, 3.6)</f>
        <v>3981.0717055349769</v>
      </c>
      <c r="AD29" s="7">
        <v>2.6</v>
      </c>
      <c r="AE29" s="7">
        <f t="shared" si="14"/>
        <v>523.82522441249694</v>
      </c>
      <c r="AF29" s="7">
        <f t="shared" si="2"/>
        <v>7.6000000000000005</v>
      </c>
    </row>
    <row r="30" spans="1:32" s="7" customFormat="1" x14ac:dyDescent="0.25">
      <c r="A30" s="10"/>
      <c r="B30" s="3"/>
      <c r="C30" s="3"/>
      <c r="D30" s="3"/>
      <c r="F30" s="8">
        <v>27</v>
      </c>
      <c r="G30" s="8">
        <f t="shared" si="15"/>
        <v>315</v>
      </c>
      <c r="H30" s="9">
        <v>36.1</v>
      </c>
      <c r="I30" s="8">
        <f t="shared" si="3"/>
        <v>180</v>
      </c>
      <c r="J30" s="9">
        <v>4.94117652</v>
      </c>
      <c r="K30" s="8">
        <f t="shared" si="16"/>
        <v>20</v>
      </c>
      <c r="L30" s="9">
        <v>5.4901960399999998</v>
      </c>
      <c r="M30" s="8">
        <f t="shared" si="4"/>
        <v>25</v>
      </c>
      <c r="N30" s="9">
        <v>2.7450978899999998</v>
      </c>
      <c r="O30" s="8">
        <f t="shared" si="5"/>
        <v>10</v>
      </c>
      <c r="P30" s="8">
        <f t="shared" si="6"/>
        <v>550</v>
      </c>
      <c r="Q30" s="18">
        <f t="shared" si="7"/>
        <v>16.2</v>
      </c>
      <c r="S30" s="7">
        <f t="shared" si="8"/>
        <v>39.299999999999997</v>
      </c>
      <c r="T30" s="7">
        <f t="shared" si="9"/>
        <v>78.599999999999994</v>
      </c>
      <c r="U30" s="7">
        <f t="shared" si="10"/>
        <v>69.150000000000006</v>
      </c>
      <c r="V30" s="18">
        <f t="shared" si="11"/>
        <v>138.30000000000001</v>
      </c>
      <c r="X30" s="7">
        <f t="shared" si="12"/>
        <v>128</v>
      </c>
      <c r="Y30" s="7">
        <f t="shared" si="0"/>
        <v>3.2569974554707382</v>
      </c>
      <c r="Z30" s="7">
        <f t="shared" si="13"/>
        <v>59</v>
      </c>
      <c r="AA30" s="18">
        <f t="shared" si="1"/>
        <v>9.3220338983050848</v>
      </c>
      <c r="AC30" s="7">
        <f xml:space="preserve"> POWER(10, 3.7)</f>
        <v>5011.8723362727324</v>
      </c>
      <c r="AD30" s="7">
        <v>2.7</v>
      </c>
      <c r="AE30" s="7">
        <f t="shared" si="14"/>
        <v>650.89251120425092</v>
      </c>
      <c r="AF30" s="7">
        <f t="shared" si="2"/>
        <v>7.7</v>
      </c>
    </row>
    <row r="31" spans="1:32" s="7" customFormat="1" x14ac:dyDescent="0.25">
      <c r="A31" s="10"/>
      <c r="B31" s="3"/>
      <c r="C31" s="3"/>
      <c r="D31" s="3"/>
      <c r="F31" s="8">
        <v>28</v>
      </c>
      <c r="G31" s="8">
        <f t="shared" si="15"/>
        <v>325</v>
      </c>
      <c r="H31" s="9">
        <v>37.4</v>
      </c>
      <c r="I31" s="8">
        <f t="shared" si="3"/>
        <v>185</v>
      </c>
      <c r="J31" s="9">
        <v>5.1176471100000001</v>
      </c>
      <c r="K31" s="8">
        <f t="shared" si="16"/>
        <v>25</v>
      </c>
      <c r="L31" s="9">
        <v>5.6862744699999999</v>
      </c>
      <c r="M31" s="8">
        <f t="shared" si="4"/>
        <v>25</v>
      </c>
      <c r="N31" s="9">
        <v>2.8431370999999999</v>
      </c>
      <c r="O31" s="8">
        <f t="shared" si="5"/>
        <v>10</v>
      </c>
      <c r="P31" s="8">
        <f t="shared" si="6"/>
        <v>570</v>
      </c>
      <c r="Q31" s="18">
        <f t="shared" si="7"/>
        <v>16.8</v>
      </c>
      <c r="S31" s="7">
        <f t="shared" si="8"/>
        <v>40.200000000000003</v>
      </c>
      <c r="T31" s="7">
        <f t="shared" si="9"/>
        <v>80.400000000000006</v>
      </c>
      <c r="U31" s="7">
        <f t="shared" si="10"/>
        <v>71.099999999999994</v>
      </c>
      <c r="V31" s="18">
        <f t="shared" si="11"/>
        <v>142.19999999999999</v>
      </c>
      <c r="X31" s="7">
        <f t="shared" si="12"/>
        <v>132</v>
      </c>
      <c r="Y31" s="7">
        <f t="shared" si="0"/>
        <v>3.2835820895522385</v>
      </c>
      <c r="Z31" s="7">
        <f t="shared" si="13"/>
        <v>61</v>
      </c>
      <c r="AA31" s="18">
        <f t="shared" si="1"/>
        <v>9.3442622950819665</v>
      </c>
      <c r="AC31" s="7">
        <f>POWER(10, 3.8)</f>
        <v>6309.5734448019384</v>
      </c>
      <c r="AD31" s="7">
        <v>2.8</v>
      </c>
      <c r="AE31" s="7">
        <f t="shared" si="14"/>
        <v>808.91967241050497</v>
      </c>
      <c r="AF31" s="7">
        <f t="shared" si="2"/>
        <v>7.8</v>
      </c>
    </row>
    <row r="32" spans="1:32" s="7" customFormat="1" x14ac:dyDescent="0.25">
      <c r="A32" s="10"/>
      <c r="B32" s="3"/>
      <c r="C32" s="3"/>
      <c r="D32" s="3"/>
      <c r="F32" s="8">
        <v>29</v>
      </c>
      <c r="G32" s="8">
        <f t="shared" si="15"/>
        <v>335</v>
      </c>
      <c r="H32" s="9">
        <v>38.700000000000003</v>
      </c>
      <c r="I32" s="8">
        <f t="shared" si="3"/>
        <v>190</v>
      </c>
      <c r="J32" s="9">
        <v>5.2941177000000001</v>
      </c>
      <c r="K32" s="8">
        <f t="shared" si="16"/>
        <v>25</v>
      </c>
      <c r="L32" s="9">
        <v>5.8823528999999999</v>
      </c>
      <c r="M32" s="8">
        <f t="shared" si="4"/>
        <v>25</v>
      </c>
      <c r="N32" s="9">
        <v>2.9411763099999999</v>
      </c>
      <c r="O32" s="8">
        <f t="shared" si="5"/>
        <v>10</v>
      </c>
      <c r="P32" s="8">
        <f t="shared" si="6"/>
        <v>585</v>
      </c>
      <c r="Q32" s="18">
        <f t="shared" si="7"/>
        <v>17.399999999999999</v>
      </c>
      <c r="S32" s="7">
        <f t="shared" si="8"/>
        <v>41.100000000000009</v>
      </c>
      <c r="T32" s="7">
        <f t="shared" si="9"/>
        <v>82.200000000000017</v>
      </c>
      <c r="U32" s="7">
        <f t="shared" si="10"/>
        <v>73.050000000000011</v>
      </c>
      <c r="V32" s="18">
        <f t="shared" si="11"/>
        <v>146.10000000000002</v>
      </c>
      <c r="X32" s="7">
        <f t="shared" si="12"/>
        <v>136</v>
      </c>
      <c r="Y32" s="7">
        <f t="shared" si="0"/>
        <v>3.3090024330900238</v>
      </c>
      <c r="Z32" s="7">
        <f t="shared" si="13"/>
        <v>63</v>
      </c>
      <c r="AA32" s="18">
        <f t="shared" si="1"/>
        <v>9.2857142857142865</v>
      </c>
      <c r="AC32" s="7">
        <f>POWER(10, 3.9)</f>
        <v>7943.2823472428154</v>
      </c>
      <c r="AD32" s="7">
        <v>2.9</v>
      </c>
      <c r="AE32" s="7">
        <f t="shared" si="14"/>
        <v>1005.4787781320019</v>
      </c>
      <c r="AF32" s="7">
        <f t="shared" si="2"/>
        <v>7.9</v>
      </c>
    </row>
    <row r="33" spans="1:32" s="7" customFormat="1" x14ac:dyDescent="0.25">
      <c r="A33" s="10"/>
      <c r="B33" s="3"/>
      <c r="C33" s="3"/>
      <c r="D33" s="3"/>
      <c r="F33" s="8">
        <v>30</v>
      </c>
      <c r="G33" s="8">
        <f t="shared" si="15"/>
        <v>345</v>
      </c>
      <c r="H33" s="9">
        <v>40</v>
      </c>
      <c r="I33" s="8">
        <f t="shared" si="3"/>
        <v>200</v>
      </c>
      <c r="J33" s="9">
        <v>5.4705882900000002</v>
      </c>
      <c r="K33" s="8">
        <f t="shared" si="16"/>
        <v>25</v>
      </c>
      <c r="L33" s="9">
        <v>6.0784313299999999</v>
      </c>
      <c r="M33" s="8">
        <f t="shared" si="4"/>
        <v>30</v>
      </c>
      <c r="N33" s="9">
        <v>3.0392155199999999</v>
      </c>
      <c r="O33" s="8">
        <f t="shared" si="5"/>
        <v>15</v>
      </c>
      <c r="P33" s="8">
        <f t="shared" si="6"/>
        <v>615</v>
      </c>
      <c r="Q33" s="18">
        <f t="shared" si="7"/>
        <v>18</v>
      </c>
      <c r="S33" s="7">
        <f t="shared" si="8"/>
        <v>42</v>
      </c>
      <c r="T33" s="7">
        <f t="shared" si="9"/>
        <v>84</v>
      </c>
      <c r="U33" s="7">
        <f t="shared" si="10"/>
        <v>75</v>
      </c>
      <c r="V33" s="18">
        <f t="shared" si="11"/>
        <v>150</v>
      </c>
      <c r="X33" s="7">
        <f t="shared" si="12"/>
        <v>140</v>
      </c>
      <c r="Y33" s="7">
        <f t="shared" si="0"/>
        <v>3.3333333333333335</v>
      </c>
      <c r="Z33" s="7">
        <f t="shared" si="13"/>
        <v>65</v>
      </c>
      <c r="AA33" s="18">
        <f t="shared" si="1"/>
        <v>9.4615384615384617</v>
      </c>
      <c r="AC33" s="7">
        <f xml:space="preserve"> POWER(10, 4)</f>
        <v>10000</v>
      </c>
      <c r="AD33" s="7">
        <v>3</v>
      </c>
      <c r="AE33" s="7">
        <f t="shared" si="14"/>
        <v>1250</v>
      </c>
      <c r="AF33" s="7">
        <f t="shared" si="2"/>
        <v>8</v>
      </c>
    </row>
    <row r="34" spans="1:32" s="7" customFormat="1" x14ac:dyDescent="0.25">
      <c r="A34" s="10"/>
      <c r="B34" s="3"/>
      <c r="C34" s="3"/>
      <c r="D34" s="3"/>
      <c r="F34" s="8">
        <v>31</v>
      </c>
      <c r="G34" s="8">
        <f t="shared" si="15"/>
        <v>355</v>
      </c>
      <c r="H34" s="9">
        <v>41.3</v>
      </c>
      <c r="I34" s="8">
        <f t="shared" si="3"/>
        <v>205</v>
      </c>
      <c r="J34" s="9">
        <v>5.6470588800000003</v>
      </c>
      <c r="K34" s="8">
        <f t="shared" si="16"/>
        <v>25</v>
      </c>
      <c r="L34" s="9">
        <v>6.2745097599999999</v>
      </c>
      <c r="M34" s="8">
        <f t="shared" si="4"/>
        <v>30</v>
      </c>
      <c r="N34" s="9">
        <v>3.13725473</v>
      </c>
      <c r="O34" s="8">
        <f t="shared" si="5"/>
        <v>15</v>
      </c>
      <c r="P34" s="8">
        <f t="shared" si="6"/>
        <v>630</v>
      </c>
      <c r="Q34" s="18">
        <f t="shared" si="7"/>
        <v>18.599999999999998</v>
      </c>
      <c r="S34" s="7">
        <f t="shared" si="8"/>
        <v>42.9</v>
      </c>
      <c r="T34" s="7">
        <f t="shared" si="9"/>
        <v>85.8</v>
      </c>
      <c r="U34" s="7">
        <f t="shared" si="10"/>
        <v>76.95</v>
      </c>
      <c r="V34" s="18">
        <f t="shared" si="11"/>
        <v>153.9</v>
      </c>
      <c r="X34" s="7">
        <f t="shared" si="12"/>
        <v>144</v>
      </c>
      <c r="Y34" s="7">
        <f t="shared" si="0"/>
        <v>3.3566433566433567</v>
      </c>
      <c r="Z34" s="7">
        <f t="shared" si="13"/>
        <v>67</v>
      </c>
      <c r="AA34" s="18">
        <f t="shared" si="1"/>
        <v>9.4029850746268657</v>
      </c>
      <c r="AC34" s="7">
        <f>POWER(10, 4.1)</f>
        <v>12589.254117941671</v>
      </c>
      <c r="AD34" s="7">
        <v>3.1</v>
      </c>
      <c r="AE34" s="7">
        <f t="shared" si="14"/>
        <v>1554.2289034495891</v>
      </c>
      <c r="AF34" s="7">
        <f t="shared" si="2"/>
        <v>8.1</v>
      </c>
    </row>
    <row r="35" spans="1:32" s="7" customFormat="1" x14ac:dyDescent="0.25">
      <c r="A35" s="10"/>
      <c r="B35" s="3"/>
      <c r="C35" s="3"/>
      <c r="D35" s="3"/>
      <c r="F35" s="8">
        <v>32</v>
      </c>
      <c r="G35" s="8">
        <f t="shared" si="15"/>
        <v>365</v>
      </c>
      <c r="H35" s="9">
        <v>42.6</v>
      </c>
      <c r="I35" s="8">
        <f t="shared" si="3"/>
        <v>210</v>
      </c>
      <c r="J35" s="9">
        <v>5.8235294700000004</v>
      </c>
      <c r="K35" s="8">
        <f t="shared" si="16"/>
        <v>25</v>
      </c>
      <c r="L35" s="9">
        <v>6.47058819</v>
      </c>
      <c r="M35" s="8">
        <f t="shared" si="4"/>
        <v>30</v>
      </c>
      <c r="N35" s="9">
        <v>3.23529394</v>
      </c>
      <c r="O35" s="8">
        <f t="shared" si="5"/>
        <v>15</v>
      </c>
      <c r="P35" s="8">
        <f t="shared" si="6"/>
        <v>645</v>
      </c>
      <c r="Q35" s="18">
        <f t="shared" si="7"/>
        <v>19.2</v>
      </c>
      <c r="S35" s="7">
        <f t="shared" si="8"/>
        <v>43.8</v>
      </c>
      <c r="T35" s="7">
        <f t="shared" si="9"/>
        <v>87.6</v>
      </c>
      <c r="U35" s="7">
        <f t="shared" si="10"/>
        <v>78.900000000000006</v>
      </c>
      <c r="V35" s="18">
        <f t="shared" si="11"/>
        <v>157.80000000000001</v>
      </c>
      <c r="X35" s="7">
        <f t="shared" si="12"/>
        <v>148</v>
      </c>
      <c r="Y35" s="7">
        <f t="shared" ref="Y35:Y53" si="17" xml:space="preserve"> MAX(1, X35/S35)</f>
        <v>3.3789954337899544</v>
      </c>
      <c r="Z35" s="7">
        <f t="shared" si="13"/>
        <v>69</v>
      </c>
      <c r="AA35" s="18">
        <f t="shared" ref="AA35:AA53" si="18" xml:space="preserve"> MAX(1, P35/Z35)</f>
        <v>9.3478260869565215</v>
      </c>
      <c r="AC35" s="7">
        <f>POWER(10, 4.2)</f>
        <v>15848.931924611146</v>
      </c>
      <c r="AD35" s="7">
        <v>3.2</v>
      </c>
      <c r="AE35" s="7">
        <f t="shared" si="14"/>
        <v>1932.7965761720911</v>
      </c>
      <c r="AF35" s="7">
        <f t="shared" ref="AF35:AF52" si="19" xml:space="preserve"> AC35 / AE35</f>
        <v>8.1999999999999993</v>
      </c>
    </row>
    <row r="36" spans="1:32" s="7" customFormat="1" x14ac:dyDescent="0.25">
      <c r="A36" s="10"/>
      <c r="B36" s="3"/>
      <c r="C36" s="3"/>
      <c r="D36" s="3"/>
      <c r="F36" s="8">
        <v>33</v>
      </c>
      <c r="G36" s="8">
        <f t="shared" si="15"/>
        <v>375</v>
      </c>
      <c r="H36" s="9">
        <v>43.9</v>
      </c>
      <c r="I36" s="8">
        <f t="shared" si="3"/>
        <v>215</v>
      </c>
      <c r="J36" s="9">
        <v>6.0000000599999996</v>
      </c>
      <c r="K36" s="8">
        <f t="shared" si="16"/>
        <v>30</v>
      </c>
      <c r="L36" s="9">
        <v>6.66666662</v>
      </c>
      <c r="M36" s="8">
        <f t="shared" si="4"/>
        <v>30</v>
      </c>
      <c r="N36" s="9">
        <v>3.3333331500000001</v>
      </c>
      <c r="O36" s="8">
        <f t="shared" si="5"/>
        <v>15</v>
      </c>
      <c r="P36" s="8">
        <f t="shared" si="6"/>
        <v>665</v>
      </c>
      <c r="Q36" s="18">
        <f t="shared" si="7"/>
        <v>19.8</v>
      </c>
      <c r="S36" s="7">
        <f t="shared" si="8"/>
        <v>44.7</v>
      </c>
      <c r="T36" s="7">
        <f t="shared" si="9"/>
        <v>89.4</v>
      </c>
      <c r="U36" s="7">
        <f t="shared" si="10"/>
        <v>80.849999999999994</v>
      </c>
      <c r="V36" s="18">
        <f t="shared" si="11"/>
        <v>161.69999999999999</v>
      </c>
      <c r="X36" s="7">
        <f t="shared" si="12"/>
        <v>152</v>
      </c>
      <c r="Y36" s="7">
        <f t="shared" si="17"/>
        <v>3.4004474272930647</v>
      </c>
      <c r="Z36" s="7">
        <f t="shared" si="13"/>
        <v>71</v>
      </c>
      <c r="AA36" s="18">
        <f t="shared" si="18"/>
        <v>9.3661971830985919</v>
      </c>
      <c r="AC36" s="7">
        <f xml:space="preserve"> POWER(10, 4.3)</f>
        <v>19952.623149688792</v>
      </c>
      <c r="AD36" s="7">
        <v>3.3</v>
      </c>
      <c r="AE36" s="7">
        <f t="shared" si="14"/>
        <v>2403.9304999625047</v>
      </c>
      <c r="AF36" s="7">
        <f t="shared" si="19"/>
        <v>8.3000000000000007</v>
      </c>
    </row>
    <row r="37" spans="1:32" s="7" customFormat="1" x14ac:dyDescent="0.25">
      <c r="A37" s="10"/>
      <c r="B37" s="3"/>
      <c r="C37" s="3"/>
      <c r="D37" s="3"/>
      <c r="F37" s="8">
        <v>34</v>
      </c>
      <c r="G37" s="8">
        <f t="shared" si="15"/>
        <v>385</v>
      </c>
      <c r="H37" s="9">
        <v>45.2</v>
      </c>
      <c r="I37" s="8">
        <f t="shared" si="3"/>
        <v>225</v>
      </c>
      <c r="J37" s="9">
        <v>6.1764706499999997</v>
      </c>
      <c r="K37" s="8">
        <f t="shared" si="16"/>
        <v>30</v>
      </c>
      <c r="L37" s="9">
        <v>6.86274505</v>
      </c>
      <c r="M37" s="8">
        <f t="shared" si="4"/>
        <v>30</v>
      </c>
      <c r="N37" s="9">
        <v>3.4313723600000001</v>
      </c>
      <c r="O37" s="8">
        <f t="shared" si="5"/>
        <v>15</v>
      </c>
      <c r="P37" s="8">
        <f t="shared" si="6"/>
        <v>685</v>
      </c>
      <c r="Q37" s="18">
        <f t="shared" si="7"/>
        <v>20.399999999999999</v>
      </c>
      <c r="S37" s="7">
        <f t="shared" si="8"/>
        <v>45.6</v>
      </c>
      <c r="T37" s="7">
        <f t="shared" si="9"/>
        <v>91.2</v>
      </c>
      <c r="U37" s="7">
        <f t="shared" si="10"/>
        <v>82.800000000000011</v>
      </c>
      <c r="V37" s="18">
        <f t="shared" si="11"/>
        <v>165.60000000000002</v>
      </c>
      <c r="X37" s="7">
        <f t="shared" si="12"/>
        <v>156</v>
      </c>
      <c r="Y37" s="7">
        <f t="shared" si="17"/>
        <v>3.4210526315789473</v>
      </c>
      <c r="Z37" s="7">
        <f t="shared" si="13"/>
        <v>73</v>
      </c>
      <c r="AA37" s="18">
        <f t="shared" si="18"/>
        <v>9.3835616438356162</v>
      </c>
      <c r="AC37" s="7">
        <f>POWER(10, 4.4)</f>
        <v>25118.86431509586</v>
      </c>
      <c r="AD37" s="7">
        <v>3.4</v>
      </c>
      <c r="AE37" s="7">
        <f t="shared" si="14"/>
        <v>2990.3409898923642</v>
      </c>
      <c r="AF37" s="7">
        <f t="shared" si="19"/>
        <v>8.4</v>
      </c>
    </row>
    <row r="38" spans="1:32" s="7" customFormat="1" x14ac:dyDescent="0.25">
      <c r="A38" s="10"/>
      <c r="B38" s="3"/>
      <c r="C38" s="3"/>
      <c r="D38" s="3"/>
      <c r="F38" s="8">
        <v>35</v>
      </c>
      <c r="G38" s="8">
        <f t="shared" si="15"/>
        <v>395</v>
      </c>
      <c r="H38" s="9">
        <v>46.5</v>
      </c>
      <c r="I38" s="8">
        <f t="shared" si="3"/>
        <v>230</v>
      </c>
      <c r="J38" s="9">
        <v>6.3529412399999998</v>
      </c>
      <c r="K38" s="8">
        <f t="shared" si="16"/>
        <v>30</v>
      </c>
      <c r="L38" s="9">
        <v>7.05882348</v>
      </c>
      <c r="M38" s="8">
        <f t="shared" si="4"/>
        <v>35</v>
      </c>
      <c r="N38" s="9">
        <v>3.5294115700000002</v>
      </c>
      <c r="O38" s="8">
        <f t="shared" si="5"/>
        <v>15</v>
      </c>
      <c r="P38" s="8">
        <f t="shared" si="6"/>
        <v>705</v>
      </c>
      <c r="Q38" s="18">
        <f t="shared" si="7"/>
        <v>21</v>
      </c>
      <c r="S38" s="7">
        <f t="shared" si="8"/>
        <v>46.5</v>
      </c>
      <c r="T38" s="7">
        <f t="shared" si="9"/>
        <v>93</v>
      </c>
      <c r="U38" s="7">
        <f t="shared" si="10"/>
        <v>84.75</v>
      </c>
      <c r="V38" s="18">
        <f t="shared" si="11"/>
        <v>169.5</v>
      </c>
      <c r="X38" s="7">
        <f t="shared" si="12"/>
        <v>160</v>
      </c>
      <c r="Y38" s="7">
        <f t="shared" si="17"/>
        <v>3.4408602150537635</v>
      </c>
      <c r="Z38" s="7">
        <f t="shared" si="13"/>
        <v>75</v>
      </c>
      <c r="AA38" s="18">
        <f t="shared" si="18"/>
        <v>9.4</v>
      </c>
      <c r="AC38" s="7">
        <f>POWER(10, 4.5)</f>
        <v>31622.77660168384</v>
      </c>
      <c r="AD38" s="7">
        <v>3.5</v>
      </c>
      <c r="AE38" s="7">
        <f t="shared" si="14"/>
        <v>3720.3266590216281</v>
      </c>
      <c r="AF38" s="7">
        <f t="shared" si="19"/>
        <v>8.5</v>
      </c>
    </row>
    <row r="39" spans="1:32" s="7" customFormat="1" x14ac:dyDescent="0.25">
      <c r="A39" s="10"/>
      <c r="B39" s="3"/>
      <c r="C39" s="3"/>
      <c r="D39" s="3"/>
      <c r="F39" s="8">
        <v>36</v>
      </c>
      <c r="G39" s="8">
        <f t="shared" si="15"/>
        <v>405</v>
      </c>
      <c r="H39" s="9">
        <v>47.8</v>
      </c>
      <c r="I39" s="8">
        <f t="shared" si="3"/>
        <v>235</v>
      </c>
      <c r="J39" s="9">
        <v>6.5294118299999999</v>
      </c>
      <c r="K39" s="8">
        <f t="shared" si="16"/>
        <v>30</v>
      </c>
      <c r="L39" s="9">
        <v>7.2549019100000001</v>
      </c>
      <c r="M39" s="8">
        <f t="shared" si="4"/>
        <v>35</v>
      </c>
      <c r="N39" s="9">
        <v>3.6274507800000002</v>
      </c>
      <c r="O39" s="8">
        <f t="shared" si="5"/>
        <v>15</v>
      </c>
      <c r="P39" s="8">
        <f t="shared" si="6"/>
        <v>720</v>
      </c>
      <c r="Q39" s="18">
        <f t="shared" si="7"/>
        <v>21.599999999999998</v>
      </c>
      <c r="S39" s="7">
        <f t="shared" si="8"/>
        <v>47.399999999999991</v>
      </c>
      <c r="T39" s="7">
        <f t="shared" si="9"/>
        <v>94.799999999999983</v>
      </c>
      <c r="U39" s="7">
        <f t="shared" si="10"/>
        <v>86.7</v>
      </c>
      <c r="V39" s="18">
        <f t="shared" si="11"/>
        <v>173.4</v>
      </c>
      <c r="X39" s="7">
        <f t="shared" si="12"/>
        <v>164</v>
      </c>
      <c r="Y39" s="7">
        <f t="shared" si="17"/>
        <v>3.4599156118143468</v>
      </c>
      <c r="Z39" s="7">
        <f t="shared" si="13"/>
        <v>77</v>
      </c>
      <c r="AA39" s="18">
        <f t="shared" si="18"/>
        <v>9.3506493506493502</v>
      </c>
      <c r="AC39" s="7">
        <f xml:space="preserve"> POWER(10, 4.6)</f>
        <v>39810.717055349742</v>
      </c>
      <c r="AD39" s="7">
        <v>3.6</v>
      </c>
      <c r="AE39" s="7">
        <f t="shared" si="14"/>
        <v>4629.1531459709004</v>
      </c>
      <c r="AF39" s="7">
        <f t="shared" si="19"/>
        <v>8.6</v>
      </c>
    </row>
    <row r="40" spans="1:32" s="7" customFormat="1" x14ac:dyDescent="0.25">
      <c r="A40" s="10"/>
      <c r="B40" s="3"/>
      <c r="C40" s="3"/>
      <c r="D40" s="3"/>
      <c r="F40" s="8">
        <v>37</v>
      </c>
      <c r="G40" s="8">
        <f t="shared" si="15"/>
        <v>415</v>
      </c>
      <c r="H40" s="9">
        <v>49.1</v>
      </c>
      <c r="I40" s="8">
        <f t="shared" si="3"/>
        <v>245</v>
      </c>
      <c r="J40" s="9">
        <v>6.70588242</v>
      </c>
      <c r="K40" s="8">
        <f t="shared" si="16"/>
        <v>30</v>
      </c>
      <c r="L40" s="9">
        <v>7.4509803400000001</v>
      </c>
      <c r="M40" s="8">
        <f t="shared" si="4"/>
        <v>35</v>
      </c>
      <c r="N40" s="9">
        <v>3.7254899899999998</v>
      </c>
      <c r="O40" s="8">
        <f t="shared" si="5"/>
        <v>15</v>
      </c>
      <c r="P40" s="8">
        <f t="shared" si="6"/>
        <v>740</v>
      </c>
      <c r="Q40" s="18">
        <f t="shared" si="7"/>
        <v>22.2</v>
      </c>
      <c r="S40" s="7">
        <f t="shared" si="8"/>
        <v>48.300000000000004</v>
      </c>
      <c r="T40" s="7">
        <f t="shared" si="9"/>
        <v>96.600000000000009</v>
      </c>
      <c r="U40" s="7">
        <f t="shared" si="10"/>
        <v>88.65</v>
      </c>
      <c r="V40" s="18">
        <f t="shared" si="11"/>
        <v>177.3</v>
      </c>
      <c r="X40" s="7">
        <f t="shared" si="12"/>
        <v>168</v>
      </c>
      <c r="Y40" s="7">
        <f t="shared" si="17"/>
        <v>3.4782608695652173</v>
      </c>
      <c r="Z40" s="7">
        <f t="shared" si="13"/>
        <v>79</v>
      </c>
      <c r="AA40" s="18">
        <f t="shared" si="18"/>
        <v>9.3670886075949369</v>
      </c>
      <c r="AC40" s="7">
        <f>POWER(10, 4.7)</f>
        <v>50118.723362727294</v>
      </c>
      <c r="AD40" s="7">
        <v>3.7</v>
      </c>
      <c r="AE40" s="7">
        <f t="shared" si="14"/>
        <v>5760.7728003134825</v>
      </c>
      <c r="AF40" s="7">
        <f t="shared" si="19"/>
        <v>8.6999999999999993</v>
      </c>
    </row>
    <row r="41" spans="1:32" s="7" customFormat="1" x14ac:dyDescent="0.25">
      <c r="A41" s="10"/>
      <c r="B41" s="3"/>
      <c r="C41" s="3"/>
      <c r="D41" s="3"/>
      <c r="F41" s="8">
        <v>38</v>
      </c>
      <c r="G41" s="8">
        <f t="shared" si="15"/>
        <v>425</v>
      </c>
      <c r="H41" s="9">
        <v>50.4</v>
      </c>
      <c r="I41" s="8">
        <f t="shared" si="3"/>
        <v>250</v>
      </c>
      <c r="J41" s="9">
        <v>6.8823530100000001</v>
      </c>
      <c r="K41" s="8">
        <f t="shared" si="16"/>
        <v>30</v>
      </c>
      <c r="L41" s="9">
        <v>7.6470587700000001</v>
      </c>
      <c r="M41" s="8">
        <f t="shared" si="4"/>
        <v>35</v>
      </c>
      <c r="N41" s="9">
        <v>3.8235291999999999</v>
      </c>
      <c r="O41" s="8">
        <f t="shared" si="5"/>
        <v>15</v>
      </c>
      <c r="P41" s="8">
        <f t="shared" si="6"/>
        <v>755</v>
      </c>
      <c r="Q41" s="18">
        <f t="shared" si="7"/>
        <v>22.8</v>
      </c>
      <c r="S41" s="7">
        <f t="shared" si="8"/>
        <v>49.2</v>
      </c>
      <c r="T41" s="7">
        <f t="shared" si="9"/>
        <v>98.4</v>
      </c>
      <c r="U41" s="7">
        <f t="shared" si="10"/>
        <v>90.6</v>
      </c>
      <c r="V41" s="18">
        <f t="shared" si="11"/>
        <v>181.2</v>
      </c>
      <c r="X41" s="7">
        <f t="shared" si="12"/>
        <v>172</v>
      </c>
      <c r="Y41" s="7">
        <f t="shared" si="17"/>
        <v>3.4959349593495932</v>
      </c>
      <c r="Z41" s="7">
        <f t="shared" si="13"/>
        <v>81</v>
      </c>
      <c r="AA41" s="18">
        <f t="shared" si="18"/>
        <v>9.3209876543209873</v>
      </c>
      <c r="AC41" s="7">
        <f>POWER(10, 4.8)</f>
        <v>63095.734448019342</v>
      </c>
      <c r="AD41" s="7">
        <v>3.8</v>
      </c>
      <c r="AE41" s="7">
        <f t="shared" si="14"/>
        <v>7169.9698236385611</v>
      </c>
      <c r="AF41" s="7">
        <f t="shared" si="19"/>
        <v>8.8000000000000007</v>
      </c>
    </row>
    <row r="42" spans="1:32" s="7" customFormat="1" x14ac:dyDescent="0.25">
      <c r="A42" s="10"/>
      <c r="B42" s="3"/>
      <c r="C42" s="3"/>
      <c r="D42" s="3"/>
      <c r="F42" s="8">
        <v>39</v>
      </c>
      <c r="G42" s="8">
        <f t="shared" si="15"/>
        <v>435</v>
      </c>
      <c r="H42" s="9">
        <v>51.7</v>
      </c>
      <c r="I42" s="8">
        <f t="shared" si="3"/>
        <v>255</v>
      </c>
      <c r="J42" s="9">
        <v>7.0588236000000002</v>
      </c>
      <c r="K42" s="8">
        <f t="shared" si="16"/>
        <v>35</v>
      </c>
      <c r="L42" s="9">
        <v>7.8431372000000001</v>
      </c>
      <c r="M42" s="8">
        <f t="shared" si="4"/>
        <v>35</v>
      </c>
      <c r="N42" s="9">
        <v>3.9215684099999999</v>
      </c>
      <c r="O42" s="8">
        <f t="shared" si="5"/>
        <v>15</v>
      </c>
      <c r="P42" s="8">
        <f t="shared" si="6"/>
        <v>775</v>
      </c>
      <c r="Q42" s="18">
        <f t="shared" si="7"/>
        <v>23.4</v>
      </c>
      <c r="S42" s="7">
        <f t="shared" si="8"/>
        <v>50.1</v>
      </c>
      <c r="T42" s="7">
        <f t="shared" si="9"/>
        <v>100.2</v>
      </c>
      <c r="U42" s="7">
        <f t="shared" si="10"/>
        <v>92.550000000000011</v>
      </c>
      <c r="V42" s="18">
        <f t="shared" si="11"/>
        <v>185.10000000000002</v>
      </c>
      <c r="X42" s="7">
        <f t="shared" si="12"/>
        <v>176</v>
      </c>
      <c r="Y42" s="7">
        <f t="shared" si="17"/>
        <v>3.5129740518962076</v>
      </c>
      <c r="Z42" s="7">
        <f t="shared" si="13"/>
        <v>83</v>
      </c>
      <c r="AA42" s="18">
        <f t="shared" si="18"/>
        <v>9.3373493975903621</v>
      </c>
      <c r="AC42" s="7">
        <f xml:space="preserve"> POWER(10, 4.9)</f>
        <v>79432.823472428237</v>
      </c>
      <c r="AD42" s="7">
        <v>3.9</v>
      </c>
      <c r="AE42" s="7">
        <f t="shared" si="14"/>
        <v>8925.0363452166548</v>
      </c>
      <c r="AF42" s="7">
        <f t="shared" si="19"/>
        <v>8.9</v>
      </c>
    </row>
    <row r="43" spans="1:32" s="7" customFormat="1" x14ac:dyDescent="0.25">
      <c r="A43" s="10"/>
      <c r="B43" s="3"/>
      <c r="C43" s="3"/>
      <c r="D43" s="3"/>
      <c r="F43" s="8">
        <v>40</v>
      </c>
      <c r="G43" s="8">
        <f t="shared" si="15"/>
        <v>445</v>
      </c>
      <c r="H43" s="9">
        <v>53</v>
      </c>
      <c r="I43" s="8">
        <f t="shared" si="3"/>
        <v>265</v>
      </c>
      <c r="J43" s="9">
        <v>7.2352941900000003</v>
      </c>
      <c r="K43" s="8">
        <f t="shared" si="16"/>
        <v>35</v>
      </c>
      <c r="L43" s="9">
        <v>8.0392156299999993</v>
      </c>
      <c r="M43" s="8">
        <f t="shared" si="4"/>
        <v>40</v>
      </c>
      <c r="N43" s="9">
        <v>4.0196076200000004</v>
      </c>
      <c r="O43" s="8">
        <f t="shared" si="5"/>
        <v>20</v>
      </c>
      <c r="P43" s="8">
        <f t="shared" si="6"/>
        <v>805</v>
      </c>
      <c r="Q43" s="18">
        <f t="shared" si="7"/>
        <v>24</v>
      </c>
      <c r="S43" s="7">
        <f t="shared" si="8"/>
        <v>51.000000000000007</v>
      </c>
      <c r="T43" s="7">
        <f t="shared" si="9"/>
        <v>102.00000000000001</v>
      </c>
      <c r="U43" s="7">
        <f t="shared" si="10"/>
        <v>94.500000000000014</v>
      </c>
      <c r="V43" s="18">
        <f t="shared" si="11"/>
        <v>189.00000000000003</v>
      </c>
      <c r="X43" s="7">
        <f t="shared" si="12"/>
        <v>180</v>
      </c>
      <c r="Y43" s="7">
        <f t="shared" si="17"/>
        <v>3.5294117647058818</v>
      </c>
      <c r="Z43" s="7">
        <f t="shared" si="13"/>
        <v>85</v>
      </c>
      <c r="AA43" s="18">
        <f t="shared" si="18"/>
        <v>9.4705882352941178</v>
      </c>
      <c r="AC43" s="7">
        <f>POWER(10, 5)</f>
        <v>100000</v>
      </c>
      <c r="AD43" s="7">
        <v>4</v>
      </c>
      <c r="AE43" s="7">
        <f t="shared" si="14"/>
        <v>11111.111111111111</v>
      </c>
      <c r="AF43" s="7">
        <f t="shared" si="19"/>
        <v>9</v>
      </c>
    </row>
    <row r="44" spans="1:32" s="7" customFormat="1" x14ac:dyDescent="0.25">
      <c r="A44" s="10"/>
      <c r="B44" s="3"/>
      <c r="C44" s="3"/>
      <c r="D44" s="3"/>
      <c r="F44" s="8">
        <v>41</v>
      </c>
      <c r="G44" s="8">
        <f t="shared" si="15"/>
        <v>455</v>
      </c>
      <c r="H44" s="9">
        <v>54.3</v>
      </c>
      <c r="I44" s="8">
        <f t="shared" si="3"/>
        <v>270</v>
      </c>
      <c r="J44" s="9">
        <v>7.4117647800000004</v>
      </c>
      <c r="K44" s="8">
        <f t="shared" si="16"/>
        <v>35</v>
      </c>
      <c r="L44" s="9">
        <v>8.2352940599999993</v>
      </c>
      <c r="M44" s="8">
        <f t="shared" si="4"/>
        <v>40</v>
      </c>
      <c r="N44" s="9">
        <v>4.11764683</v>
      </c>
      <c r="O44" s="8">
        <f t="shared" si="5"/>
        <v>20</v>
      </c>
      <c r="P44" s="8">
        <f t="shared" si="6"/>
        <v>820</v>
      </c>
      <c r="Q44" s="18">
        <f t="shared" si="7"/>
        <v>24.599999999999998</v>
      </c>
      <c r="S44" s="7">
        <f t="shared" si="8"/>
        <v>51.9</v>
      </c>
      <c r="T44" s="7">
        <f t="shared" si="9"/>
        <v>103.8</v>
      </c>
      <c r="U44" s="7">
        <f t="shared" si="10"/>
        <v>96.45</v>
      </c>
      <c r="V44" s="18">
        <f t="shared" si="11"/>
        <v>192.9</v>
      </c>
      <c r="X44" s="7">
        <f t="shared" si="12"/>
        <v>184</v>
      </c>
      <c r="Y44" s="7">
        <f t="shared" si="17"/>
        <v>3.5452793834296727</v>
      </c>
      <c r="Z44" s="7">
        <f t="shared" si="13"/>
        <v>87</v>
      </c>
      <c r="AA44" s="18">
        <f t="shared" si="18"/>
        <v>9.4252873563218387</v>
      </c>
      <c r="AC44" s="7">
        <f>POWER(10, 5.1)</f>
        <v>125892.54117941685</v>
      </c>
      <c r="AD44" s="7">
        <v>4.0999999999999996</v>
      </c>
      <c r="AE44" s="7">
        <f t="shared" si="14"/>
        <v>13834.345184551303</v>
      </c>
      <c r="AF44" s="7">
        <f t="shared" si="19"/>
        <v>9.1</v>
      </c>
    </row>
    <row r="45" spans="1:32" s="7" customFormat="1" x14ac:dyDescent="0.25">
      <c r="A45" s="10"/>
      <c r="B45" s="3"/>
      <c r="C45" s="3"/>
      <c r="D45" s="3"/>
      <c r="F45" s="8">
        <v>42</v>
      </c>
      <c r="G45" s="8">
        <f t="shared" si="15"/>
        <v>465</v>
      </c>
      <c r="H45" s="9">
        <v>55.6</v>
      </c>
      <c r="I45" s="8">
        <f t="shared" si="3"/>
        <v>275</v>
      </c>
      <c r="J45" s="9">
        <v>7.5882353699999996</v>
      </c>
      <c r="K45" s="8">
        <f t="shared" si="16"/>
        <v>35</v>
      </c>
      <c r="L45" s="9">
        <v>8.4313724899999993</v>
      </c>
      <c r="M45" s="8">
        <f t="shared" si="4"/>
        <v>40</v>
      </c>
      <c r="N45" s="9">
        <v>4.2156860399999996</v>
      </c>
      <c r="O45" s="8">
        <f t="shared" si="5"/>
        <v>20</v>
      </c>
      <c r="P45" s="8">
        <f t="shared" si="6"/>
        <v>835</v>
      </c>
      <c r="Q45" s="18">
        <f t="shared" si="7"/>
        <v>25.2</v>
      </c>
      <c r="S45" s="7">
        <f t="shared" si="8"/>
        <v>52.8</v>
      </c>
      <c r="T45" s="7">
        <f t="shared" si="9"/>
        <v>105.6</v>
      </c>
      <c r="U45" s="7">
        <f t="shared" si="10"/>
        <v>98.4</v>
      </c>
      <c r="V45" s="18">
        <f t="shared" si="11"/>
        <v>196.8</v>
      </c>
      <c r="X45" s="7">
        <f t="shared" si="12"/>
        <v>188</v>
      </c>
      <c r="Y45" s="7">
        <f t="shared" si="17"/>
        <v>3.560606060606061</v>
      </c>
      <c r="Z45" s="7">
        <f t="shared" si="13"/>
        <v>89</v>
      </c>
      <c r="AA45" s="18">
        <f t="shared" si="18"/>
        <v>9.382022471910112</v>
      </c>
      <c r="AC45" s="7">
        <f xml:space="preserve"> POWER(10, 5.2)</f>
        <v>158489.31924611164</v>
      </c>
      <c r="AD45" s="7">
        <v>4.2</v>
      </c>
      <c r="AE45" s="7">
        <f t="shared" si="14"/>
        <v>17227.099918055614</v>
      </c>
      <c r="AF45" s="7">
        <f t="shared" si="19"/>
        <v>9.1999999999999993</v>
      </c>
    </row>
    <row r="46" spans="1:32" s="7" customFormat="1" x14ac:dyDescent="0.25">
      <c r="A46" s="10"/>
      <c r="B46" s="3"/>
      <c r="C46" s="3"/>
      <c r="D46" s="3"/>
      <c r="F46" s="8">
        <v>43</v>
      </c>
      <c r="G46" s="8">
        <f t="shared" si="15"/>
        <v>475</v>
      </c>
      <c r="H46" s="9">
        <v>56.9</v>
      </c>
      <c r="I46" s="8">
        <f t="shared" si="3"/>
        <v>280</v>
      </c>
      <c r="J46" s="9">
        <v>7.7647059599999997</v>
      </c>
      <c r="K46" s="8">
        <f t="shared" si="16"/>
        <v>35</v>
      </c>
      <c r="L46" s="9">
        <v>8.6274509199999994</v>
      </c>
      <c r="M46" s="8">
        <f t="shared" si="4"/>
        <v>40</v>
      </c>
      <c r="N46" s="9">
        <v>4.3137252500000001</v>
      </c>
      <c r="O46" s="8">
        <f t="shared" si="5"/>
        <v>20</v>
      </c>
      <c r="P46" s="8">
        <f t="shared" si="6"/>
        <v>850</v>
      </c>
      <c r="Q46" s="18">
        <f t="shared" si="7"/>
        <v>25.8</v>
      </c>
      <c r="S46" s="7">
        <f t="shared" si="8"/>
        <v>53.7</v>
      </c>
      <c r="T46" s="7">
        <f t="shared" si="9"/>
        <v>107.4</v>
      </c>
      <c r="U46" s="7">
        <f t="shared" si="10"/>
        <v>100.35000000000001</v>
      </c>
      <c r="V46" s="18">
        <f t="shared" si="11"/>
        <v>200.70000000000002</v>
      </c>
      <c r="X46" s="7">
        <f t="shared" si="12"/>
        <v>192</v>
      </c>
      <c r="Y46" s="7">
        <f t="shared" si="17"/>
        <v>3.5754189944134076</v>
      </c>
      <c r="Z46" s="7">
        <f t="shared" si="13"/>
        <v>91</v>
      </c>
      <c r="AA46" s="18">
        <f t="shared" si="18"/>
        <v>9.3406593406593412</v>
      </c>
      <c r="AC46" s="7">
        <f>POWER(10, 5.3)</f>
        <v>199526.23149688813</v>
      </c>
      <c r="AD46" s="7">
        <v>4.3</v>
      </c>
      <c r="AE46" s="7">
        <f t="shared" si="14"/>
        <v>21454.433494289045</v>
      </c>
      <c r="AF46" s="7">
        <f t="shared" si="19"/>
        <v>9.3000000000000007</v>
      </c>
    </row>
    <row r="47" spans="1:32" s="7" customFormat="1" x14ac:dyDescent="0.25">
      <c r="A47" s="10"/>
      <c r="B47" s="3"/>
      <c r="C47" s="3"/>
      <c r="D47" s="3"/>
      <c r="F47" s="8">
        <v>44</v>
      </c>
      <c r="G47" s="8">
        <f t="shared" si="15"/>
        <v>485</v>
      </c>
      <c r="H47" s="9">
        <v>58.2</v>
      </c>
      <c r="I47" s="8">
        <f t="shared" si="3"/>
        <v>290</v>
      </c>
      <c r="J47" s="9">
        <v>7.9411765499999998</v>
      </c>
      <c r="K47" s="8">
        <f t="shared" si="16"/>
        <v>35</v>
      </c>
      <c r="L47" s="9">
        <v>8.8235293499999994</v>
      </c>
      <c r="M47" s="8">
        <f t="shared" si="4"/>
        <v>40</v>
      </c>
      <c r="N47" s="9">
        <v>4.4117644599999997</v>
      </c>
      <c r="O47" s="8">
        <f t="shared" si="5"/>
        <v>20</v>
      </c>
      <c r="P47" s="8">
        <f t="shared" si="6"/>
        <v>870</v>
      </c>
      <c r="Q47" s="18">
        <f t="shared" si="7"/>
        <v>26.4</v>
      </c>
      <c r="S47" s="7">
        <f t="shared" si="8"/>
        <v>54.6</v>
      </c>
      <c r="T47" s="7">
        <f t="shared" si="9"/>
        <v>109.2</v>
      </c>
      <c r="U47" s="7">
        <f t="shared" si="10"/>
        <v>102.3</v>
      </c>
      <c r="V47" s="18">
        <f t="shared" si="11"/>
        <v>204.6</v>
      </c>
      <c r="X47" s="7">
        <f t="shared" si="12"/>
        <v>196</v>
      </c>
      <c r="Y47" s="7">
        <f t="shared" si="17"/>
        <v>3.5897435897435899</v>
      </c>
      <c r="Z47" s="7">
        <f t="shared" si="13"/>
        <v>93</v>
      </c>
      <c r="AA47" s="18">
        <f t="shared" si="18"/>
        <v>9.3548387096774199</v>
      </c>
      <c r="AC47" s="7">
        <f>POWER(10, 5.4)</f>
        <v>251188.64315095844</v>
      </c>
      <c r="AD47" s="7">
        <v>4.4000000000000004</v>
      </c>
      <c r="AE47" s="7">
        <f t="shared" si="14"/>
        <v>26722.196079889196</v>
      </c>
      <c r="AF47" s="7">
        <f t="shared" si="19"/>
        <v>9.4</v>
      </c>
    </row>
    <row r="48" spans="1:32" s="7" customFormat="1" x14ac:dyDescent="0.25">
      <c r="A48" s="10"/>
      <c r="B48" s="3"/>
      <c r="C48" s="3"/>
      <c r="D48" s="3"/>
      <c r="F48" s="8">
        <v>45</v>
      </c>
      <c r="G48" s="8">
        <f t="shared" si="15"/>
        <v>495</v>
      </c>
      <c r="H48" s="9">
        <v>59.5</v>
      </c>
      <c r="I48" s="8">
        <f t="shared" si="3"/>
        <v>295</v>
      </c>
      <c r="J48" s="9">
        <v>8.1176471400000008</v>
      </c>
      <c r="K48" s="8">
        <f t="shared" si="16"/>
        <v>40</v>
      </c>
      <c r="L48" s="9">
        <v>9.0196077799999994</v>
      </c>
      <c r="M48" s="8">
        <f t="shared" si="4"/>
        <v>45</v>
      </c>
      <c r="N48" s="9">
        <v>4.5098036700000002</v>
      </c>
      <c r="O48" s="8">
        <f t="shared" si="5"/>
        <v>20</v>
      </c>
      <c r="P48" s="8">
        <f t="shared" si="6"/>
        <v>895</v>
      </c>
      <c r="Q48" s="18">
        <f t="shared" si="7"/>
        <v>27</v>
      </c>
      <c r="S48" s="7">
        <f t="shared" si="8"/>
        <v>55.5</v>
      </c>
      <c r="T48" s="7">
        <f t="shared" si="9"/>
        <v>111</v>
      </c>
      <c r="U48" s="7">
        <f t="shared" si="10"/>
        <v>104.25</v>
      </c>
      <c r="V48" s="18">
        <f t="shared" si="11"/>
        <v>208.5</v>
      </c>
      <c r="X48" s="7">
        <f t="shared" si="12"/>
        <v>200</v>
      </c>
      <c r="Y48" s="7">
        <f t="shared" si="17"/>
        <v>3.6036036036036037</v>
      </c>
      <c r="Z48" s="7">
        <f t="shared" si="13"/>
        <v>95</v>
      </c>
      <c r="AA48" s="18">
        <f t="shared" si="18"/>
        <v>9.4210526315789469</v>
      </c>
      <c r="AC48" s="7">
        <f xml:space="preserve"> POWER(10, 5.5)</f>
        <v>316227.7660168382</v>
      </c>
      <c r="AD48" s="7">
        <v>4.5</v>
      </c>
      <c r="AE48" s="7">
        <f t="shared" si="14"/>
        <v>33287.133264930337</v>
      </c>
      <c r="AF48" s="7">
        <f t="shared" si="19"/>
        <v>9.5</v>
      </c>
    </row>
    <row r="49" spans="1:39" s="7" customFormat="1" x14ac:dyDescent="0.25">
      <c r="A49" s="10"/>
      <c r="B49" s="3"/>
      <c r="C49" s="3"/>
      <c r="D49" s="3"/>
      <c r="F49" s="8">
        <v>46</v>
      </c>
      <c r="G49" s="8">
        <f t="shared" si="15"/>
        <v>505</v>
      </c>
      <c r="H49" s="9">
        <v>60.8</v>
      </c>
      <c r="I49" s="8">
        <f t="shared" si="3"/>
        <v>300</v>
      </c>
      <c r="J49" s="9">
        <v>8.29411773</v>
      </c>
      <c r="K49" s="8">
        <f t="shared" si="16"/>
        <v>40</v>
      </c>
      <c r="L49" s="9">
        <v>9.2156862099999994</v>
      </c>
      <c r="M49" s="8">
        <f t="shared" si="4"/>
        <v>45</v>
      </c>
      <c r="N49" s="9">
        <v>4.6078428799999998</v>
      </c>
      <c r="O49" s="8">
        <f t="shared" si="5"/>
        <v>20</v>
      </c>
      <c r="P49" s="8">
        <f t="shared" si="6"/>
        <v>910</v>
      </c>
      <c r="Q49" s="18">
        <f t="shared" si="7"/>
        <v>27.599999999999998</v>
      </c>
      <c r="S49" s="7">
        <f t="shared" si="8"/>
        <v>56.4</v>
      </c>
      <c r="T49" s="7">
        <f t="shared" si="9"/>
        <v>112.8</v>
      </c>
      <c r="U49" s="7">
        <f t="shared" si="10"/>
        <v>106.2</v>
      </c>
      <c r="V49" s="18">
        <f t="shared" si="11"/>
        <v>212.4</v>
      </c>
      <c r="X49" s="7">
        <f t="shared" si="12"/>
        <v>204</v>
      </c>
      <c r="Y49" s="7">
        <f t="shared" si="17"/>
        <v>3.6170212765957448</v>
      </c>
      <c r="Z49" s="7">
        <f t="shared" si="13"/>
        <v>97</v>
      </c>
      <c r="AA49" s="18">
        <f t="shared" si="18"/>
        <v>9.3814432989690726</v>
      </c>
      <c r="AC49" s="7">
        <f>POWER(10, 5.6)</f>
        <v>398107.17055349716</v>
      </c>
      <c r="AD49" s="7">
        <v>4.5999999999999996</v>
      </c>
      <c r="AE49" s="7">
        <f t="shared" si="14"/>
        <v>41469.496932655959</v>
      </c>
      <c r="AF49" s="7">
        <f t="shared" si="19"/>
        <v>9.6</v>
      </c>
    </row>
    <row r="50" spans="1:39" s="7" customFormat="1" x14ac:dyDescent="0.25">
      <c r="A50" s="10"/>
      <c r="B50" s="3"/>
      <c r="C50" s="3"/>
      <c r="D50" s="3"/>
      <c r="F50" s="8">
        <v>47</v>
      </c>
      <c r="G50" s="8">
        <f t="shared" si="15"/>
        <v>515</v>
      </c>
      <c r="H50" s="9">
        <v>62.1</v>
      </c>
      <c r="I50" s="8">
        <f t="shared" si="3"/>
        <v>310</v>
      </c>
      <c r="J50" s="9">
        <v>8.4705883199999992</v>
      </c>
      <c r="K50" s="8">
        <f t="shared" si="16"/>
        <v>40</v>
      </c>
      <c r="L50" s="9">
        <v>9.4117646399999995</v>
      </c>
      <c r="M50" s="8">
        <f t="shared" si="4"/>
        <v>45</v>
      </c>
      <c r="N50" s="9">
        <v>4.7058820900000002</v>
      </c>
      <c r="O50" s="8">
        <f t="shared" si="5"/>
        <v>20</v>
      </c>
      <c r="P50" s="8">
        <f t="shared" si="6"/>
        <v>930</v>
      </c>
      <c r="Q50" s="18">
        <f t="shared" si="7"/>
        <v>28.2</v>
      </c>
      <c r="S50" s="7">
        <f t="shared" si="8"/>
        <v>57.3</v>
      </c>
      <c r="T50" s="7">
        <f t="shared" si="9"/>
        <v>114.6</v>
      </c>
      <c r="U50" s="7">
        <f t="shared" si="10"/>
        <v>108.15000000000002</v>
      </c>
      <c r="V50" s="18">
        <f t="shared" si="11"/>
        <v>216.30000000000004</v>
      </c>
      <c r="X50" s="7">
        <f t="shared" si="12"/>
        <v>208</v>
      </c>
      <c r="Y50" s="7">
        <f t="shared" si="17"/>
        <v>3.6300174520069808</v>
      </c>
      <c r="Z50" s="7">
        <f t="shared" si="13"/>
        <v>99</v>
      </c>
      <c r="AA50" s="18">
        <f t="shared" si="18"/>
        <v>9.3939393939393945</v>
      </c>
      <c r="AC50" s="7">
        <f>POWER(10, 5.7)</f>
        <v>501187.23362727347</v>
      </c>
      <c r="AD50" s="7">
        <v>4.7</v>
      </c>
      <c r="AE50" s="7">
        <f t="shared" si="14"/>
        <v>51668.786971883863</v>
      </c>
      <c r="AF50" s="7">
        <f t="shared" si="19"/>
        <v>9.6999999999999993</v>
      </c>
    </row>
    <row r="51" spans="1:39" s="7" customFormat="1" x14ac:dyDescent="0.25">
      <c r="A51" s="10"/>
      <c r="B51" s="3"/>
      <c r="C51" s="3"/>
      <c r="D51" s="3"/>
      <c r="F51" s="8">
        <v>48</v>
      </c>
      <c r="G51" s="8">
        <f t="shared" si="15"/>
        <v>525</v>
      </c>
      <c r="H51" s="9">
        <v>63.4</v>
      </c>
      <c r="I51" s="8">
        <f t="shared" si="3"/>
        <v>315</v>
      </c>
      <c r="J51" s="9">
        <v>8.6470589100000002</v>
      </c>
      <c r="K51" s="8">
        <f t="shared" si="16"/>
        <v>40</v>
      </c>
      <c r="L51" s="9">
        <v>9.6078430699999995</v>
      </c>
      <c r="M51" s="8">
        <f t="shared" si="4"/>
        <v>45</v>
      </c>
      <c r="N51" s="9">
        <v>4.8039212999999998</v>
      </c>
      <c r="O51" s="8">
        <f t="shared" si="5"/>
        <v>20</v>
      </c>
      <c r="P51" s="8">
        <f t="shared" si="6"/>
        <v>945</v>
      </c>
      <c r="Q51" s="18">
        <f t="shared" si="7"/>
        <v>28.799999999999997</v>
      </c>
      <c r="S51" s="7">
        <f t="shared" si="8"/>
        <v>58.2</v>
      </c>
      <c r="T51" s="7">
        <f t="shared" si="9"/>
        <v>116.4</v>
      </c>
      <c r="U51" s="7">
        <f t="shared" si="10"/>
        <v>110.1</v>
      </c>
      <c r="V51" s="18">
        <f t="shared" si="11"/>
        <v>220.2</v>
      </c>
      <c r="X51" s="7">
        <f t="shared" si="12"/>
        <v>212</v>
      </c>
      <c r="Y51" s="7">
        <f t="shared" si="17"/>
        <v>3.6426116838487972</v>
      </c>
      <c r="Z51" s="7">
        <f t="shared" si="13"/>
        <v>101</v>
      </c>
      <c r="AA51" s="18">
        <f t="shared" si="18"/>
        <v>9.3564356435643568</v>
      </c>
      <c r="AC51" s="7">
        <f xml:space="preserve"> POWER(10, 5.8)</f>
        <v>630957.34448019415</v>
      </c>
      <c r="AD51" s="7">
        <v>4.8</v>
      </c>
      <c r="AE51" s="7">
        <f t="shared" si="14"/>
        <v>64383.40249797899</v>
      </c>
      <c r="AF51" s="7">
        <f t="shared" si="19"/>
        <v>9.8000000000000007</v>
      </c>
    </row>
    <row r="52" spans="1:39" s="7" customFormat="1" x14ac:dyDescent="0.25">
      <c r="A52" s="10"/>
      <c r="B52" s="3"/>
      <c r="C52" s="3"/>
      <c r="D52" s="3"/>
      <c r="F52" s="8">
        <v>49</v>
      </c>
      <c r="G52" s="8">
        <f t="shared" si="15"/>
        <v>535</v>
      </c>
      <c r="H52" s="9">
        <v>64.7</v>
      </c>
      <c r="I52" s="8">
        <f t="shared" si="3"/>
        <v>320</v>
      </c>
      <c r="J52" s="9">
        <v>8.8235294999999994</v>
      </c>
      <c r="K52" s="8">
        <f t="shared" si="16"/>
        <v>40</v>
      </c>
      <c r="L52" s="9">
        <v>9.8039214999999995</v>
      </c>
      <c r="M52" s="8">
        <f t="shared" si="4"/>
        <v>45</v>
      </c>
      <c r="N52" s="9">
        <v>4.9019605100000003</v>
      </c>
      <c r="O52" s="8">
        <f t="shared" si="5"/>
        <v>20</v>
      </c>
      <c r="P52" s="8">
        <f t="shared" si="6"/>
        <v>960</v>
      </c>
      <c r="Q52" s="18">
        <f t="shared" si="7"/>
        <v>29.4</v>
      </c>
      <c r="S52" s="7">
        <f t="shared" si="8"/>
        <v>59.1</v>
      </c>
      <c r="T52" s="7">
        <f t="shared" si="9"/>
        <v>118.2</v>
      </c>
      <c r="U52" s="7">
        <f t="shared" si="10"/>
        <v>112.05</v>
      </c>
      <c r="V52" s="18">
        <f t="shared" si="11"/>
        <v>224.1</v>
      </c>
      <c r="X52" s="7">
        <f t="shared" si="12"/>
        <v>216</v>
      </c>
      <c r="Y52" s="7">
        <f t="shared" si="17"/>
        <v>3.6548223350253806</v>
      </c>
      <c r="Z52" s="7">
        <f t="shared" si="13"/>
        <v>103</v>
      </c>
      <c r="AA52" s="18">
        <f t="shared" si="18"/>
        <v>9.3203883495145625</v>
      </c>
      <c r="AC52" s="7">
        <f>POWER(10, 5.9)</f>
        <v>794328.23472428333</v>
      </c>
      <c r="AD52" s="7">
        <v>4.9000000000000004</v>
      </c>
      <c r="AE52" s="7">
        <f t="shared" si="14"/>
        <v>80235.175224675084</v>
      </c>
      <c r="AF52" s="7">
        <f t="shared" si="19"/>
        <v>9.9</v>
      </c>
    </row>
    <row r="53" spans="1:39" s="7" customFormat="1" x14ac:dyDescent="0.25">
      <c r="A53" s="10"/>
      <c r="B53" s="3"/>
      <c r="C53" s="3"/>
      <c r="D53" s="3"/>
      <c r="F53" s="8">
        <v>50</v>
      </c>
      <c r="G53" s="8">
        <f t="shared" si="15"/>
        <v>545</v>
      </c>
      <c r="H53" s="9">
        <v>66</v>
      </c>
      <c r="I53" s="8">
        <f t="shared" si="3"/>
        <v>330</v>
      </c>
      <c r="J53" s="9">
        <v>9</v>
      </c>
      <c r="K53" s="8">
        <f t="shared" si="16"/>
        <v>45</v>
      </c>
      <c r="L53" s="9">
        <v>10</v>
      </c>
      <c r="M53" s="8">
        <f t="shared" si="4"/>
        <v>50</v>
      </c>
      <c r="N53" s="9">
        <v>5</v>
      </c>
      <c r="O53" s="8">
        <f t="shared" si="5"/>
        <v>25</v>
      </c>
      <c r="P53" s="8">
        <f t="shared" si="6"/>
        <v>995</v>
      </c>
      <c r="Q53" s="18">
        <f t="shared" si="7"/>
        <v>30</v>
      </c>
      <c r="S53" s="7">
        <f t="shared" si="8"/>
        <v>60</v>
      </c>
      <c r="T53" s="7">
        <f t="shared" si="9"/>
        <v>120</v>
      </c>
      <c r="U53" s="7">
        <f t="shared" si="10"/>
        <v>114</v>
      </c>
      <c r="V53" s="18">
        <f t="shared" si="11"/>
        <v>228</v>
      </c>
      <c r="X53" s="7">
        <f t="shared" si="12"/>
        <v>220</v>
      </c>
      <c r="Y53" s="7">
        <f t="shared" si="17"/>
        <v>3.6666666666666665</v>
      </c>
      <c r="Z53" s="7">
        <f t="shared" si="13"/>
        <v>105</v>
      </c>
      <c r="AA53" s="18">
        <f t="shared" si="18"/>
        <v>9.4761904761904763</v>
      </c>
      <c r="AF53" s="11" t="s">
        <v>31</v>
      </c>
      <c r="AH53" s="11" t="s">
        <v>33</v>
      </c>
      <c r="AJ53" s="12" t="s">
        <v>35</v>
      </c>
    </row>
    <row r="54" spans="1:39" x14ac:dyDescent="0.25">
      <c r="AF54" s="13">
        <f>SUM(AF3:AF53)</f>
        <v>372.5</v>
      </c>
      <c r="AG54" s="14" t="s">
        <v>32</v>
      </c>
      <c r="AH54" s="14">
        <v>20</v>
      </c>
      <c r="AI54" s="15" t="s">
        <v>34</v>
      </c>
      <c r="AJ54" s="3">
        <f>AF54/AH54</f>
        <v>18.625</v>
      </c>
    </row>
    <row r="56" spans="1:39" x14ac:dyDescent="0.25">
      <c r="AD56" s="51" t="s">
        <v>36</v>
      </c>
      <c r="AE56" s="51"/>
      <c r="AF56" s="51"/>
      <c r="AG56" s="51"/>
      <c r="AH56" s="51"/>
      <c r="AI56" s="51"/>
      <c r="AJ56" s="51"/>
      <c r="AK56" s="51"/>
      <c r="AL56" s="51"/>
      <c r="AM56" s="51"/>
    </row>
    <row r="57" spans="1:39" x14ac:dyDescent="0.25">
      <c r="AD57" s="51"/>
      <c r="AE57" s="51"/>
      <c r="AF57" s="51"/>
      <c r="AG57" s="51"/>
      <c r="AH57" s="51"/>
      <c r="AI57" s="51"/>
      <c r="AJ57" s="51"/>
      <c r="AK57" s="51"/>
      <c r="AL57" s="51"/>
      <c r="AM57" s="51"/>
    </row>
    <row r="58" spans="1:39" x14ac:dyDescent="0.25">
      <c r="AD58" s="51"/>
      <c r="AE58" s="51"/>
      <c r="AF58" s="51"/>
      <c r="AG58" s="51"/>
      <c r="AH58" s="51"/>
      <c r="AI58" s="51"/>
      <c r="AJ58" s="51"/>
      <c r="AK58" s="51"/>
      <c r="AL58" s="51"/>
      <c r="AM58" s="51"/>
    </row>
    <row r="59" spans="1:39" x14ac:dyDescent="0.25">
      <c r="AD59" s="51"/>
      <c r="AE59" s="51"/>
      <c r="AF59" s="51"/>
      <c r="AG59" s="51"/>
      <c r="AH59" s="51"/>
      <c r="AI59" s="51"/>
      <c r="AJ59" s="51"/>
      <c r="AK59" s="51"/>
      <c r="AL59" s="51"/>
      <c r="AM59" s="51"/>
    </row>
    <row r="60" spans="1:39" x14ac:dyDescent="0.25">
      <c r="AD60" s="51"/>
      <c r="AE60" s="51"/>
      <c r="AF60" s="51"/>
      <c r="AG60" s="51"/>
      <c r="AH60" s="51"/>
      <c r="AI60" s="51"/>
      <c r="AJ60" s="51"/>
      <c r="AK60" s="51"/>
      <c r="AL60" s="51"/>
      <c r="AM60" s="51"/>
    </row>
    <row r="61" spans="1:39" x14ac:dyDescent="0.25">
      <c r="AD61" s="51"/>
      <c r="AE61" s="51"/>
      <c r="AF61" s="51"/>
      <c r="AG61" s="51"/>
      <c r="AH61" s="51"/>
      <c r="AI61" s="51"/>
      <c r="AJ61" s="51"/>
      <c r="AK61" s="51"/>
      <c r="AL61" s="51"/>
      <c r="AM61" s="51"/>
    </row>
    <row r="62" spans="1:39" x14ac:dyDescent="0.25">
      <c r="AD62" s="51"/>
      <c r="AE62" s="51"/>
      <c r="AF62" s="51"/>
      <c r="AG62" s="51"/>
      <c r="AH62" s="51"/>
      <c r="AI62" s="51"/>
      <c r="AJ62" s="51"/>
      <c r="AK62" s="51"/>
      <c r="AL62" s="51"/>
      <c r="AM62" s="51"/>
    </row>
    <row r="63" spans="1:39" x14ac:dyDescent="0.25">
      <c r="AD63" s="51"/>
      <c r="AE63" s="51"/>
      <c r="AF63" s="51"/>
      <c r="AG63" s="51"/>
      <c r="AH63" s="51"/>
      <c r="AI63" s="51"/>
      <c r="AJ63" s="51"/>
      <c r="AK63" s="51"/>
      <c r="AL63" s="51"/>
      <c r="AM63" s="51"/>
    </row>
    <row r="64" spans="1:39" x14ac:dyDescent="0.25">
      <c r="AD64" s="51"/>
      <c r="AE64" s="51"/>
      <c r="AF64" s="51"/>
      <c r="AG64" s="51"/>
      <c r="AH64" s="51"/>
      <c r="AI64" s="51"/>
      <c r="AJ64" s="51"/>
      <c r="AK64" s="51"/>
      <c r="AL64" s="51"/>
      <c r="AM64" s="51"/>
    </row>
  </sheetData>
  <mergeCells count="3">
    <mergeCell ref="F1:G1"/>
    <mergeCell ref="AD56:AM64"/>
    <mergeCell ref="A7:D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boDifficulty">
          <controlPr defaultSize="0" autoLine="0" listFillRange="'Game Balance'!A3:A5" r:id="rId5">
            <anchor moveWithCells="1">
              <from>
                <xdr:col>7</xdr:col>
                <xdr:colOff>0</xdr:colOff>
                <xdr:row>0</xdr:row>
                <xdr:rowOff>142875</xdr:rowOff>
              </from>
              <to>
                <xdr:col>9</xdr:col>
                <xdr:colOff>304800</xdr:colOff>
                <xdr:row>0</xdr:row>
                <xdr:rowOff>428625</xdr:rowOff>
              </to>
            </anchor>
          </controlPr>
        </control>
      </mc:Choice>
      <mc:Fallback>
        <control shapeId="1025" r:id="rId4" name="cboDifficult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A0476-3378-4126-A3C6-0177A8EECC26}">
  <dimension ref="A1:E100"/>
  <sheetViews>
    <sheetView zoomScale="85" zoomScaleNormal="85" workbookViewId="0">
      <selection activeCell="A101" sqref="A101"/>
    </sheetView>
  </sheetViews>
  <sheetFormatPr defaultRowHeight="15" x14ac:dyDescent="0.25"/>
  <cols>
    <col min="1" max="1" width="9.140625" style="49"/>
    <col min="2" max="2" width="17.140625" style="20" customWidth="1"/>
    <col min="3" max="3" width="18.140625" style="20" customWidth="1"/>
    <col min="4" max="4" width="21.140625" style="20" customWidth="1"/>
    <col min="5" max="5" width="23.85546875" style="20" customWidth="1"/>
  </cols>
  <sheetData>
    <row r="1" spans="1:5" x14ac:dyDescent="0.25">
      <c r="B1" s="20" t="s">
        <v>42</v>
      </c>
      <c r="C1" s="20" t="s">
        <v>43</v>
      </c>
      <c r="D1" s="20" t="s">
        <v>44</v>
      </c>
      <c r="E1" s="20" t="s">
        <v>45</v>
      </c>
    </row>
    <row r="2" spans="1:5" x14ac:dyDescent="0.25">
      <c r="A2" s="53" t="s">
        <v>46</v>
      </c>
      <c r="B2" s="21">
        <v>0</v>
      </c>
      <c r="C2" s="21">
        <v>1</v>
      </c>
      <c r="D2" s="21">
        <f>C2*7</f>
        <v>7</v>
      </c>
      <c r="E2" s="21">
        <f>ROUNDUP((B2+D2)/2, 0)</f>
        <v>4</v>
      </c>
    </row>
    <row r="3" spans="1:5" x14ac:dyDescent="0.25">
      <c r="A3" s="53"/>
      <c r="B3" s="21">
        <v>1</v>
      </c>
      <c r="C3" s="21">
        <v>1</v>
      </c>
      <c r="D3" s="21">
        <f>C3*7</f>
        <v>7</v>
      </c>
      <c r="E3" s="21">
        <f t="shared" ref="E3:E18" si="0">ROUNDUP((B3+D3)/2, 0)</f>
        <v>4</v>
      </c>
    </row>
    <row r="4" spans="1:5" x14ac:dyDescent="0.25">
      <c r="A4" s="53"/>
      <c r="B4" s="21">
        <v>2</v>
      </c>
      <c r="C4" s="21">
        <v>1</v>
      </c>
      <c r="D4" s="21">
        <f t="shared" ref="D4:D67" si="1">C4*7</f>
        <v>7</v>
      </c>
      <c r="E4" s="21">
        <f t="shared" si="0"/>
        <v>5</v>
      </c>
    </row>
    <row r="5" spans="1:5" x14ac:dyDescent="0.25">
      <c r="A5" s="53"/>
      <c r="B5" s="21">
        <v>3</v>
      </c>
      <c r="C5" s="21">
        <v>1</v>
      </c>
      <c r="D5" s="21">
        <f t="shared" si="1"/>
        <v>7</v>
      </c>
      <c r="E5" s="21">
        <f t="shared" si="0"/>
        <v>5</v>
      </c>
    </row>
    <row r="6" spans="1:5" x14ac:dyDescent="0.25">
      <c r="A6" s="53"/>
      <c r="B6" s="21">
        <v>4</v>
      </c>
      <c r="C6" s="21">
        <v>1</v>
      </c>
      <c r="D6" s="21">
        <f t="shared" si="1"/>
        <v>7</v>
      </c>
      <c r="E6" s="21">
        <f t="shared" si="0"/>
        <v>6</v>
      </c>
    </row>
    <row r="7" spans="1:5" x14ac:dyDescent="0.25">
      <c r="A7" s="53"/>
      <c r="B7" s="21">
        <v>5</v>
      </c>
      <c r="C7" s="21">
        <v>1</v>
      </c>
      <c r="D7" s="21">
        <f t="shared" si="1"/>
        <v>7</v>
      </c>
      <c r="E7" s="21">
        <f t="shared" si="0"/>
        <v>6</v>
      </c>
    </row>
    <row r="8" spans="1:5" x14ac:dyDescent="0.25">
      <c r="A8" s="53"/>
      <c r="B8" s="21">
        <v>6</v>
      </c>
      <c r="C8" s="21">
        <v>1</v>
      </c>
      <c r="D8" s="21">
        <f t="shared" si="1"/>
        <v>7</v>
      </c>
      <c r="E8" s="21">
        <f t="shared" si="0"/>
        <v>7</v>
      </c>
    </row>
    <row r="9" spans="1:5" x14ac:dyDescent="0.25">
      <c r="A9" s="53"/>
      <c r="B9" s="38">
        <v>7</v>
      </c>
      <c r="C9" s="39">
        <v>1</v>
      </c>
      <c r="D9" s="39">
        <f t="shared" si="1"/>
        <v>7</v>
      </c>
      <c r="E9" s="40">
        <f t="shared" si="0"/>
        <v>7</v>
      </c>
    </row>
    <row r="10" spans="1:5" x14ac:dyDescent="0.25">
      <c r="A10" s="53"/>
      <c r="B10" s="21">
        <v>8</v>
      </c>
      <c r="C10" s="21">
        <v>1</v>
      </c>
      <c r="D10" s="21">
        <f t="shared" si="1"/>
        <v>7</v>
      </c>
      <c r="E10" s="21">
        <f t="shared" si="0"/>
        <v>8</v>
      </c>
    </row>
    <row r="11" spans="1:5" x14ac:dyDescent="0.25">
      <c r="A11" s="53"/>
      <c r="B11" s="21">
        <v>9</v>
      </c>
      <c r="C11" s="21">
        <v>1</v>
      </c>
      <c r="D11" s="21">
        <f t="shared" si="1"/>
        <v>7</v>
      </c>
      <c r="E11" s="21">
        <f t="shared" si="0"/>
        <v>8</v>
      </c>
    </row>
    <row r="12" spans="1:5" x14ac:dyDescent="0.25">
      <c r="A12" s="53"/>
      <c r="B12" s="21">
        <v>10</v>
      </c>
      <c r="C12" s="21">
        <v>1</v>
      </c>
      <c r="D12" s="21">
        <f t="shared" si="1"/>
        <v>7</v>
      </c>
      <c r="E12" s="21">
        <f t="shared" si="0"/>
        <v>9</v>
      </c>
    </row>
    <row r="13" spans="1:5" x14ac:dyDescent="0.25">
      <c r="A13" s="53"/>
      <c r="B13" s="21">
        <v>11</v>
      </c>
      <c r="C13" s="21">
        <v>1</v>
      </c>
      <c r="D13" s="21">
        <f t="shared" si="1"/>
        <v>7</v>
      </c>
      <c r="E13" s="21">
        <f t="shared" si="0"/>
        <v>9</v>
      </c>
    </row>
    <row r="14" spans="1:5" x14ac:dyDescent="0.25">
      <c r="A14" s="53"/>
      <c r="B14" s="21">
        <v>12</v>
      </c>
      <c r="C14" s="21">
        <v>1</v>
      </c>
      <c r="D14" s="21">
        <f t="shared" si="1"/>
        <v>7</v>
      </c>
      <c r="E14" s="21">
        <f t="shared" si="0"/>
        <v>10</v>
      </c>
    </row>
    <row r="15" spans="1:5" x14ac:dyDescent="0.25">
      <c r="A15" s="53"/>
      <c r="B15" s="21">
        <v>13</v>
      </c>
      <c r="C15" s="21">
        <v>1</v>
      </c>
      <c r="D15" s="21">
        <f t="shared" si="1"/>
        <v>7</v>
      </c>
      <c r="E15" s="21">
        <f t="shared" si="0"/>
        <v>10</v>
      </c>
    </row>
    <row r="16" spans="1:5" x14ac:dyDescent="0.25">
      <c r="A16" s="53"/>
      <c r="B16" s="21">
        <v>14</v>
      </c>
      <c r="C16" s="21">
        <v>1</v>
      </c>
      <c r="D16" s="21">
        <f t="shared" si="1"/>
        <v>7</v>
      </c>
      <c r="E16" s="21">
        <f t="shared" si="0"/>
        <v>11</v>
      </c>
    </row>
    <row r="17" spans="1:5" x14ac:dyDescent="0.25">
      <c r="A17" s="53" t="s">
        <v>47</v>
      </c>
      <c r="B17" s="22">
        <v>7</v>
      </c>
      <c r="C17" s="22">
        <v>2</v>
      </c>
      <c r="D17" s="22">
        <f t="shared" si="1"/>
        <v>14</v>
      </c>
      <c r="E17" s="22">
        <f t="shared" si="0"/>
        <v>11</v>
      </c>
    </row>
    <row r="18" spans="1:5" x14ac:dyDescent="0.25">
      <c r="A18" s="53"/>
      <c r="B18" s="22">
        <v>8</v>
      </c>
      <c r="C18" s="22">
        <v>2</v>
      </c>
      <c r="D18" s="22">
        <f t="shared" si="1"/>
        <v>14</v>
      </c>
      <c r="E18" s="22">
        <f t="shared" si="0"/>
        <v>11</v>
      </c>
    </row>
    <row r="19" spans="1:5" x14ac:dyDescent="0.25">
      <c r="A19" s="53"/>
      <c r="B19" s="22">
        <v>9</v>
      </c>
      <c r="C19" s="22">
        <v>2</v>
      </c>
      <c r="D19" s="22">
        <f t="shared" si="1"/>
        <v>14</v>
      </c>
      <c r="E19" s="22">
        <f t="shared" ref="E19:E33" si="2">ROUNDUP((B19+D19)/2, 0)</f>
        <v>12</v>
      </c>
    </row>
    <row r="20" spans="1:5" x14ac:dyDescent="0.25">
      <c r="A20" s="53"/>
      <c r="B20" s="22">
        <v>10</v>
      </c>
      <c r="C20" s="22">
        <v>2</v>
      </c>
      <c r="D20" s="22">
        <f t="shared" si="1"/>
        <v>14</v>
      </c>
      <c r="E20" s="22">
        <f t="shared" si="2"/>
        <v>12</v>
      </c>
    </row>
    <row r="21" spans="1:5" x14ac:dyDescent="0.25">
      <c r="A21" s="53"/>
      <c r="B21" s="22">
        <v>11</v>
      </c>
      <c r="C21" s="22">
        <v>2</v>
      </c>
      <c r="D21" s="22">
        <f t="shared" si="1"/>
        <v>14</v>
      </c>
      <c r="E21" s="22">
        <f t="shared" si="2"/>
        <v>13</v>
      </c>
    </row>
    <row r="22" spans="1:5" x14ac:dyDescent="0.25">
      <c r="A22" s="53"/>
      <c r="B22" s="22">
        <v>12</v>
      </c>
      <c r="C22" s="22">
        <v>2</v>
      </c>
      <c r="D22" s="22">
        <f t="shared" si="1"/>
        <v>14</v>
      </c>
      <c r="E22" s="22">
        <f t="shared" si="2"/>
        <v>13</v>
      </c>
    </row>
    <row r="23" spans="1:5" x14ac:dyDescent="0.25">
      <c r="A23" s="53"/>
      <c r="B23" s="22">
        <v>13</v>
      </c>
      <c r="C23" s="22">
        <v>2</v>
      </c>
      <c r="D23" s="22">
        <f t="shared" si="1"/>
        <v>14</v>
      </c>
      <c r="E23" s="22">
        <f t="shared" si="2"/>
        <v>14</v>
      </c>
    </row>
    <row r="24" spans="1:5" x14ac:dyDescent="0.25">
      <c r="A24" s="53"/>
      <c r="B24" s="35">
        <v>14</v>
      </c>
      <c r="C24" s="36">
        <v>2</v>
      </c>
      <c r="D24" s="36">
        <f t="shared" si="1"/>
        <v>14</v>
      </c>
      <c r="E24" s="37">
        <f t="shared" si="2"/>
        <v>14</v>
      </c>
    </row>
    <row r="25" spans="1:5" x14ac:dyDescent="0.25">
      <c r="A25" s="53"/>
      <c r="B25" s="22">
        <v>15</v>
      </c>
      <c r="C25" s="22">
        <v>2</v>
      </c>
      <c r="D25" s="22">
        <f t="shared" si="1"/>
        <v>14</v>
      </c>
      <c r="E25" s="22">
        <f t="shared" si="2"/>
        <v>15</v>
      </c>
    </row>
    <row r="26" spans="1:5" x14ac:dyDescent="0.25">
      <c r="A26" s="53"/>
      <c r="B26" s="22">
        <v>16</v>
      </c>
      <c r="C26" s="22">
        <v>2</v>
      </c>
      <c r="D26" s="22">
        <f t="shared" si="1"/>
        <v>14</v>
      </c>
      <c r="E26" s="22">
        <f t="shared" si="2"/>
        <v>15</v>
      </c>
    </row>
    <row r="27" spans="1:5" x14ac:dyDescent="0.25">
      <c r="A27" s="53"/>
      <c r="B27" s="22">
        <v>17</v>
      </c>
      <c r="C27" s="22">
        <v>2</v>
      </c>
      <c r="D27" s="22">
        <f t="shared" si="1"/>
        <v>14</v>
      </c>
      <c r="E27" s="22">
        <f t="shared" si="2"/>
        <v>16</v>
      </c>
    </row>
    <row r="28" spans="1:5" x14ac:dyDescent="0.25">
      <c r="A28" s="53"/>
      <c r="B28" s="22">
        <v>18</v>
      </c>
      <c r="C28" s="22">
        <v>2</v>
      </c>
      <c r="D28" s="22">
        <f t="shared" si="1"/>
        <v>14</v>
      </c>
      <c r="E28" s="22">
        <f t="shared" si="2"/>
        <v>16</v>
      </c>
    </row>
    <row r="29" spans="1:5" x14ac:dyDescent="0.25">
      <c r="A29" s="53"/>
      <c r="B29" s="22">
        <v>19</v>
      </c>
      <c r="C29" s="22">
        <v>2</v>
      </c>
      <c r="D29" s="22">
        <f t="shared" si="1"/>
        <v>14</v>
      </c>
      <c r="E29" s="22">
        <f t="shared" si="2"/>
        <v>17</v>
      </c>
    </row>
    <row r="30" spans="1:5" x14ac:dyDescent="0.25">
      <c r="A30" s="53"/>
      <c r="B30" s="22">
        <v>20</v>
      </c>
      <c r="C30" s="22">
        <v>2</v>
      </c>
      <c r="D30" s="22">
        <f t="shared" si="1"/>
        <v>14</v>
      </c>
      <c r="E30" s="22">
        <f t="shared" si="2"/>
        <v>17</v>
      </c>
    </row>
    <row r="31" spans="1:5" x14ac:dyDescent="0.25">
      <c r="A31" s="53"/>
      <c r="B31" s="22">
        <v>21</v>
      </c>
      <c r="C31" s="22">
        <v>2</v>
      </c>
      <c r="D31" s="22">
        <f t="shared" si="1"/>
        <v>14</v>
      </c>
      <c r="E31" s="22">
        <f t="shared" si="2"/>
        <v>18</v>
      </c>
    </row>
    <row r="32" spans="1:5" x14ac:dyDescent="0.25">
      <c r="A32" s="53" t="s">
        <v>48</v>
      </c>
      <c r="B32" s="23">
        <v>14</v>
      </c>
      <c r="C32" s="23">
        <v>3</v>
      </c>
      <c r="D32" s="23">
        <f t="shared" si="1"/>
        <v>21</v>
      </c>
      <c r="E32" s="23">
        <f t="shared" si="2"/>
        <v>18</v>
      </c>
    </row>
    <row r="33" spans="1:5" x14ac:dyDescent="0.25">
      <c r="A33" s="53"/>
      <c r="B33" s="23">
        <v>15</v>
      </c>
      <c r="C33" s="23">
        <v>3</v>
      </c>
      <c r="D33" s="23">
        <f t="shared" si="1"/>
        <v>21</v>
      </c>
      <c r="E33" s="23">
        <f t="shared" si="2"/>
        <v>18</v>
      </c>
    </row>
    <row r="34" spans="1:5" x14ac:dyDescent="0.25">
      <c r="A34" s="53"/>
      <c r="B34" s="23">
        <v>16</v>
      </c>
      <c r="C34" s="23">
        <v>3</v>
      </c>
      <c r="D34" s="23">
        <f t="shared" si="1"/>
        <v>21</v>
      </c>
      <c r="E34" s="23">
        <f t="shared" ref="E34:E48" si="3">ROUNDUP((B34+D34)/2, 0)</f>
        <v>19</v>
      </c>
    </row>
    <row r="35" spans="1:5" x14ac:dyDescent="0.25">
      <c r="A35" s="53"/>
      <c r="B35" s="23">
        <v>17</v>
      </c>
      <c r="C35" s="23">
        <v>3</v>
      </c>
      <c r="D35" s="23">
        <f t="shared" si="1"/>
        <v>21</v>
      </c>
      <c r="E35" s="23">
        <f t="shared" si="3"/>
        <v>19</v>
      </c>
    </row>
    <row r="36" spans="1:5" x14ac:dyDescent="0.25">
      <c r="A36" s="53"/>
      <c r="B36" s="23">
        <v>18</v>
      </c>
      <c r="C36" s="23">
        <v>3</v>
      </c>
      <c r="D36" s="23">
        <f t="shared" si="1"/>
        <v>21</v>
      </c>
      <c r="E36" s="23">
        <f t="shared" si="3"/>
        <v>20</v>
      </c>
    </row>
    <row r="37" spans="1:5" x14ac:dyDescent="0.25">
      <c r="A37" s="53"/>
      <c r="B37" s="23">
        <v>19</v>
      </c>
      <c r="C37" s="23">
        <v>3</v>
      </c>
      <c r="D37" s="23">
        <f t="shared" si="1"/>
        <v>21</v>
      </c>
      <c r="E37" s="23">
        <f t="shared" si="3"/>
        <v>20</v>
      </c>
    </row>
    <row r="38" spans="1:5" x14ac:dyDescent="0.25">
      <c r="A38" s="53"/>
      <c r="B38" s="23">
        <v>20</v>
      </c>
      <c r="C38" s="23">
        <v>3</v>
      </c>
      <c r="D38" s="23">
        <f t="shared" si="1"/>
        <v>21</v>
      </c>
      <c r="E38" s="23">
        <f t="shared" si="3"/>
        <v>21</v>
      </c>
    </row>
    <row r="39" spans="1:5" x14ac:dyDescent="0.25">
      <c r="A39" s="53"/>
      <c r="B39" s="32">
        <v>21</v>
      </c>
      <c r="C39" s="33">
        <v>3</v>
      </c>
      <c r="D39" s="33">
        <f t="shared" si="1"/>
        <v>21</v>
      </c>
      <c r="E39" s="34">
        <f t="shared" si="3"/>
        <v>21</v>
      </c>
    </row>
    <row r="40" spans="1:5" x14ac:dyDescent="0.25">
      <c r="A40" s="53"/>
      <c r="B40" s="23">
        <v>22</v>
      </c>
      <c r="C40" s="23">
        <v>3</v>
      </c>
      <c r="D40" s="23">
        <f t="shared" si="1"/>
        <v>21</v>
      </c>
      <c r="E40" s="23">
        <f t="shared" si="3"/>
        <v>22</v>
      </c>
    </row>
    <row r="41" spans="1:5" x14ac:dyDescent="0.25">
      <c r="A41" s="53"/>
      <c r="B41" s="23">
        <v>23</v>
      </c>
      <c r="C41" s="23">
        <v>3</v>
      </c>
      <c r="D41" s="23">
        <f t="shared" si="1"/>
        <v>21</v>
      </c>
      <c r="E41" s="23">
        <f t="shared" si="3"/>
        <v>22</v>
      </c>
    </row>
    <row r="42" spans="1:5" x14ac:dyDescent="0.25">
      <c r="A42" s="53"/>
      <c r="B42" s="23">
        <v>24</v>
      </c>
      <c r="C42" s="23">
        <v>3</v>
      </c>
      <c r="D42" s="23">
        <f t="shared" si="1"/>
        <v>21</v>
      </c>
      <c r="E42" s="23">
        <f t="shared" si="3"/>
        <v>23</v>
      </c>
    </row>
    <row r="43" spans="1:5" x14ac:dyDescent="0.25">
      <c r="A43" s="53"/>
      <c r="B43" s="23">
        <v>25</v>
      </c>
      <c r="C43" s="23">
        <v>3</v>
      </c>
      <c r="D43" s="23">
        <f t="shared" si="1"/>
        <v>21</v>
      </c>
      <c r="E43" s="23">
        <f t="shared" si="3"/>
        <v>23</v>
      </c>
    </row>
    <row r="44" spans="1:5" x14ac:dyDescent="0.25">
      <c r="A44" s="53"/>
      <c r="B44" s="23">
        <v>26</v>
      </c>
      <c r="C44" s="23">
        <v>3</v>
      </c>
      <c r="D44" s="23">
        <f t="shared" si="1"/>
        <v>21</v>
      </c>
      <c r="E44" s="23">
        <f t="shared" si="3"/>
        <v>24</v>
      </c>
    </row>
    <row r="45" spans="1:5" x14ac:dyDescent="0.25">
      <c r="A45" s="53"/>
      <c r="B45" s="23">
        <v>27</v>
      </c>
      <c r="C45" s="23">
        <v>3</v>
      </c>
      <c r="D45" s="23">
        <f t="shared" si="1"/>
        <v>21</v>
      </c>
      <c r="E45" s="23">
        <f t="shared" si="3"/>
        <v>24</v>
      </c>
    </row>
    <row r="46" spans="1:5" x14ac:dyDescent="0.25">
      <c r="A46" s="53"/>
      <c r="B46" s="23">
        <v>28</v>
      </c>
      <c r="C46" s="23">
        <v>3</v>
      </c>
      <c r="D46" s="23">
        <f t="shared" si="1"/>
        <v>21</v>
      </c>
      <c r="E46" s="23">
        <f t="shared" si="3"/>
        <v>25</v>
      </c>
    </row>
    <row r="47" spans="1:5" x14ac:dyDescent="0.25">
      <c r="A47" s="53" t="s">
        <v>49</v>
      </c>
      <c r="B47" s="24">
        <v>21</v>
      </c>
      <c r="C47" s="24">
        <v>4</v>
      </c>
      <c r="D47" s="24">
        <f t="shared" si="1"/>
        <v>28</v>
      </c>
      <c r="E47" s="24">
        <f t="shared" si="3"/>
        <v>25</v>
      </c>
    </row>
    <row r="48" spans="1:5" x14ac:dyDescent="0.25">
      <c r="A48" s="53"/>
      <c r="B48" s="24">
        <v>22</v>
      </c>
      <c r="C48" s="24">
        <v>4</v>
      </c>
      <c r="D48" s="24">
        <f t="shared" si="1"/>
        <v>28</v>
      </c>
      <c r="E48" s="24">
        <f t="shared" si="3"/>
        <v>25</v>
      </c>
    </row>
    <row r="49" spans="1:5" x14ac:dyDescent="0.25">
      <c r="A49" s="53"/>
      <c r="B49" s="24">
        <v>23</v>
      </c>
      <c r="C49" s="24">
        <v>4</v>
      </c>
      <c r="D49" s="24">
        <f t="shared" si="1"/>
        <v>28</v>
      </c>
      <c r="E49" s="24">
        <f t="shared" ref="E49:E63" si="4">ROUNDUP((B49+D49)/2, 0)</f>
        <v>26</v>
      </c>
    </row>
    <row r="50" spans="1:5" x14ac:dyDescent="0.25">
      <c r="A50" s="53"/>
      <c r="B50" s="24">
        <v>24</v>
      </c>
      <c r="C50" s="24">
        <v>4</v>
      </c>
      <c r="D50" s="24">
        <f t="shared" si="1"/>
        <v>28</v>
      </c>
      <c r="E50" s="24">
        <f t="shared" si="4"/>
        <v>26</v>
      </c>
    </row>
    <row r="51" spans="1:5" x14ac:dyDescent="0.25">
      <c r="A51" s="53"/>
      <c r="B51" s="24">
        <v>25</v>
      </c>
      <c r="C51" s="24">
        <v>4</v>
      </c>
      <c r="D51" s="24">
        <f t="shared" si="1"/>
        <v>28</v>
      </c>
      <c r="E51" s="24">
        <f t="shared" si="4"/>
        <v>27</v>
      </c>
    </row>
    <row r="52" spans="1:5" x14ac:dyDescent="0.25">
      <c r="A52" s="53"/>
      <c r="B52" s="24">
        <v>26</v>
      </c>
      <c r="C52" s="24">
        <v>4</v>
      </c>
      <c r="D52" s="24">
        <f t="shared" si="1"/>
        <v>28</v>
      </c>
      <c r="E52" s="24">
        <f t="shared" si="4"/>
        <v>27</v>
      </c>
    </row>
    <row r="53" spans="1:5" x14ac:dyDescent="0.25">
      <c r="A53" s="53"/>
      <c r="B53" s="24">
        <v>27</v>
      </c>
      <c r="C53" s="24">
        <v>4</v>
      </c>
      <c r="D53" s="24">
        <f t="shared" si="1"/>
        <v>28</v>
      </c>
      <c r="E53" s="24">
        <f t="shared" si="4"/>
        <v>28</v>
      </c>
    </row>
    <row r="54" spans="1:5" x14ac:dyDescent="0.25">
      <c r="A54" s="53"/>
      <c r="B54" s="29">
        <v>28</v>
      </c>
      <c r="C54" s="30">
        <v>4</v>
      </c>
      <c r="D54" s="30">
        <f t="shared" si="1"/>
        <v>28</v>
      </c>
      <c r="E54" s="31">
        <f t="shared" si="4"/>
        <v>28</v>
      </c>
    </row>
    <row r="55" spans="1:5" x14ac:dyDescent="0.25">
      <c r="A55" s="53"/>
      <c r="B55" s="24">
        <v>29</v>
      </c>
      <c r="C55" s="24">
        <v>4</v>
      </c>
      <c r="D55" s="24">
        <f t="shared" si="1"/>
        <v>28</v>
      </c>
      <c r="E55" s="24">
        <f t="shared" si="4"/>
        <v>29</v>
      </c>
    </row>
    <row r="56" spans="1:5" x14ac:dyDescent="0.25">
      <c r="A56" s="53"/>
      <c r="B56" s="24">
        <v>30</v>
      </c>
      <c r="C56" s="24">
        <v>4</v>
      </c>
      <c r="D56" s="24">
        <f t="shared" si="1"/>
        <v>28</v>
      </c>
      <c r="E56" s="24">
        <f t="shared" si="4"/>
        <v>29</v>
      </c>
    </row>
    <row r="57" spans="1:5" x14ac:dyDescent="0.25">
      <c r="A57" s="53"/>
      <c r="B57" s="24">
        <v>31</v>
      </c>
      <c r="C57" s="24">
        <v>4</v>
      </c>
      <c r="D57" s="24">
        <f t="shared" si="1"/>
        <v>28</v>
      </c>
      <c r="E57" s="24">
        <f t="shared" si="4"/>
        <v>30</v>
      </c>
    </row>
    <row r="58" spans="1:5" x14ac:dyDescent="0.25">
      <c r="A58" s="53"/>
      <c r="B58" s="24">
        <v>32</v>
      </c>
      <c r="C58" s="24">
        <v>4</v>
      </c>
      <c r="D58" s="24">
        <f t="shared" si="1"/>
        <v>28</v>
      </c>
      <c r="E58" s="24">
        <f t="shared" si="4"/>
        <v>30</v>
      </c>
    </row>
    <row r="59" spans="1:5" x14ac:dyDescent="0.25">
      <c r="A59" s="53"/>
      <c r="B59" s="24">
        <v>33</v>
      </c>
      <c r="C59" s="24">
        <v>4</v>
      </c>
      <c r="D59" s="24">
        <f t="shared" si="1"/>
        <v>28</v>
      </c>
      <c r="E59" s="24">
        <f t="shared" si="4"/>
        <v>31</v>
      </c>
    </row>
    <row r="60" spans="1:5" x14ac:dyDescent="0.25">
      <c r="A60" s="53"/>
      <c r="B60" s="24">
        <v>34</v>
      </c>
      <c r="C60" s="24">
        <v>4</v>
      </c>
      <c r="D60" s="24">
        <f t="shared" si="1"/>
        <v>28</v>
      </c>
      <c r="E60" s="24">
        <f t="shared" si="4"/>
        <v>31</v>
      </c>
    </row>
    <row r="61" spans="1:5" x14ac:dyDescent="0.25">
      <c r="A61" s="53"/>
      <c r="B61" s="24">
        <v>35</v>
      </c>
      <c r="C61" s="24">
        <v>4</v>
      </c>
      <c r="D61" s="24">
        <f t="shared" si="1"/>
        <v>28</v>
      </c>
      <c r="E61" s="24">
        <f t="shared" si="4"/>
        <v>32</v>
      </c>
    </row>
    <row r="62" spans="1:5" x14ac:dyDescent="0.25">
      <c r="A62" s="53" t="s">
        <v>51</v>
      </c>
      <c r="B62" s="25">
        <v>28</v>
      </c>
      <c r="C62" s="25">
        <v>5</v>
      </c>
      <c r="D62" s="25">
        <f t="shared" si="1"/>
        <v>35</v>
      </c>
      <c r="E62" s="25">
        <f t="shared" si="4"/>
        <v>32</v>
      </c>
    </row>
    <row r="63" spans="1:5" x14ac:dyDescent="0.25">
      <c r="A63" s="53"/>
      <c r="B63" s="25">
        <v>29</v>
      </c>
      <c r="C63" s="25">
        <v>5</v>
      </c>
      <c r="D63" s="25">
        <f t="shared" si="1"/>
        <v>35</v>
      </c>
      <c r="E63" s="25">
        <f t="shared" si="4"/>
        <v>32</v>
      </c>
    </row>
    <row r="64" spans="1:5" x14ac:dyDescent="0.25">
      <c r="A64" s="53"/>
      <c r="B64" s="25">
        <v>30</v>
      </c>
      <c r="C64" s="25">
        <v>5</v>
      </c>
      <c r="D64" s="25">
        <f t="shared" si="1"/>
        <v>35</v>
      </c>
      <c r="E64" s="25">
        <f t="shared" ref="E64:E78" si="5">ROUNDUP((B64+D64)/2, 0)</f>
        <v>33</v>
      </c>
    </row>
    <row r="65" spans="1:5" x14ac:dyDescent="0.25">
      <c r="A65" s="53"/>
      <c r="B65" s="25">
        <v>31</v>
      </c>
      <c r="C65" s="25">
        <v>5</v>
      </c>
      <c r="D65" s="25">
        <f t="shared" si="1"/>
        <v>35</v>
      </c>
      <c r="E65" s="25">
        <f t="shared" si="5"/>
        <v>33</v>
      </c>
    </row>
    <row r="66" spans="1:5" x14ac:dyDescent="0.25">
      <c r="A66" s="53"/>
      <c r="B66" s="25">
        <v>32</v>
      </c>
      <c r="C66" s="25">
        <v>5</v>
      </c>
      <c r="D66" s="25">
        <f t="shared" si="1"/>
        <v>35</v>
      </c>
      <c r="E66" s="25">
        <f t="shared" si="5"/>
        <v>34</v>
      </c>
    </row>
    <row r="67" spans="1:5" x14ac:dyDescent="0.25">
      <c r="A67" s="53"/>
      <c r="B67" s="25">
        <v>33</v>
      </c>
      <c r="C67" s="25">
        <v>5</v>
      </c>
      <c r="D67" s="25">
        <f t="shared" si="1"/>
        <v>35</v>
      </c>
      <c r="E67" s="25">
        <f t="shared" si="5"/>
        <v>34</v>
      </c>
    </row>
    <row r="68" spans="1:5" x14ac:dyDescent="0.25">
      <c r="A68" s="53"/>
      <c r="B68" s="25">
        <v>34</v>
      </c>
      <c r="C68" s="25">
        <v>5</v>
      </c>
      <c r="D68" s="25">
        <f t="shared" ref="D68:D100" si="6">C68*7</f>
        <v>35</v>
      </c>
      <c r="E68" s="25">
        <f t="shared" si="5"/>
        <v>35</v>
      </c>
    </row>
    <row r="69" spans="1:5" x14ac:dyDescent="0.25">
      <c r="A69" s="53"/>
      <c r="B69" s="26">
        <v>35</v>
      </c>
      <c r="C69" s="27">
        <v>5</v>
      </c>
      <c r="D69" s="27">
        <f t="shared" si="6"/>
        <v>35</v>
      </c>
      <c r="E69" s="28">
        <f t="shared" si="5"/>
        <v>35</v>
      </c>
    </row>
    <row r="70" spans="1:5" x14ac:dyDescent="0.25">
      <c r="A70" s="53"/>
      <c r="B70" s="25">
        <v>36</v>
      </c>
      <c r="C70" s="25">
        <v>5</v>
      </c>
      <c r="D70" s="25">
        <f t="shared" si="6"/>
        <v>35</v>
      </c>
      <c r="E70" s="25">
        <f t="shared" si="5"/>
        <v>36</v>
      </c>
    </row>
    <row r="71" spans="1:5" x14ac:dyDescent="0.25">
      <c r="A71" s="53"/>
      <c r="B71" s="25">
        <v>37</v>
      </c>
      <c r="C71" s="25">
        <v>5</v>
      </c>
      <c r="D71" s="25">
        <f t="shared" si="6"/>
        <v>35</v>
      </c>
      <c r="E71" s="25">
        <f t="shared" si="5"/>
        <v>36</v>
      </c>
    </row>
    <row r="72" spans="1:5" x14ac:dyDescent="0.25">
      <c r="A72" s="53"/>
      <c r="B72" s="25">
        <v>38</v>
      </c>
      <c r="C72" s="25">
        <v>5</v>
      </c>
      <c r="D72" s="25">
        <f t="shared" si="6"/>
        <v>35</v>
      </c>
      <c r="E72" s="25">
        <f t="shared" si="5"/>
        <v>37</v>
      </c>
    </row>
    <row r="73" spans="1:5" x14ac:dyDescent="0.25">
      <c r="A73" s="53"/>
      <c r="B73" s="25">
        <v>39</v>
      </c>
      <c r="C73" s="25">
        <v>5</v>
      </c>
      <c r="D73" s="25">
        <f t="shared" si="6"/>
        <v>35</v>
      </c>
      <c r="E73" s="25">
        <f t="shared" si="5"/>
        <v>37</v>
      </c>
    </row>
    <row r="74" spans="1:5" x14ac:dyDescent="0.25">
      <c r="A74" s="53"/>
      <c r="B74" s="25">
        <v>40</v>
      </c>
      <c r="C74" s="25">
        <v>5</v>
      </c>
      <c r="D74" s="25">
        <f t="shared" si="6"/>
        <v>35</v>
      </c>
      <c r="E74" s="25">
        <f t="shared" si="5"/>
        <v>38</v>
      </c>
    </row>
    <row r="75" spans="1:5" x14ac:dyDescent="0.25">
      <c r="A75" s="53"/>
      <c r="B75" s="25">
        <v>41</v>
      </c>
      <c r="C75" s="25">
        <v>5</v>
      </c>
      <c r="D75" s="25">
        <f t="shared" si="6"/>
        <v>35</v>
      </c>
      <c r="E75" s="25">
        <f t="shared" si="5"/>
        <v>38</v>
      </c>
    </row>
    <row r="76" spans="1:5" x14ac:dyDescent="0.25">
      <c r="A76" s="53"/>
      <c r="B76" s="25">
        <v>42</v>
      </c>
      <c r="C76" s="25">
        <v>5</v>
      </c>
      <c r="D76" s="25">
        <f t="shared" si="6"/>
        <v>35</v>
      </c>
      <c r="E76" s="25">
        <f t="shared" si="5"/>
        <v>39</v>
      </c>
    </row>
    <row r="77" spans="1:5" x14ac:dyDescent="0.25">
      <c r="A77" s="53" t="s">
        <v>50</v>
      </c>
      <c r="B77" s="41">
        <v>35</v>
      </c>
      <c r="C77" s="41">
        <v>6</v>
      </c>
      <c r="D77" s="41">
        <f t="shared" si="6"/>
        <v>42</v>
      </c>
      <c r="E77" s="41">
        <f t="shared" si="5"/>
        <v>39</v>
      </c>
    </row>
    <row r="78" spans="1:5" x14ac:dyDescent="0.25">
      <c r="A78" s="53"/>
      <c r="B78" s="41">
        <v>36</v>
      </c>
      <c r="C78" s="41">
        <v>6</v>
      </c>
      <c r="D78" s="41">
        <f t="shared" si="6"/>
        <v>42</v>
      </c>
      <c r="E78" s="41">
        <f t="shared" si="5"/>
        <v>39</v>
      </c>
    </row>
    <row r="79" spans="1:5" x14ac:dyDescent="0.25">
      <c r="A79" s="53"/>
      <c r="B79" s="41">
        <v>37</v>
      </c>
      <c r="C79" s="41">
        <v>6</v>
      </c>
      <c r="D79" s="41">
        <f t="shared" si="6"/>
        <v>42</v>
      </c>
      <c r="E79" s="41">
        <f t="shared" ref="E79:E93" si="7">ROUNDUP((B79+D79)/2, 0)</f>
        <v>40</v>
      </c>
    </row>
    <row r="80" spans="1:5" x14ac:dyDescent="0.25">
      <c r="A80" s="53"/>
      <c r="B80" s="41">
        <v>38</v>
      </c>
      <c r="C80" s="41">
        <v>6</v>
      </c>
      <c r="D80" s="41">
        <f t="shared" si="6"/>
        <v>42</v>
      </c>
      <c r="E80" s="41">
        <f t="shared" si="7"/>
        <v>40</v>
      </c>
    </row>
    <row r="81" spans="1:5" x14ac:dyDescent="0.25">
      <c r="A81" s="53"/>
      <c r="B81" s="41">
        <v>39</v>
      </c>
      <c r="C81" s="41">
        <v>6</v>
      </c>
      <c r="D81" s="41">
        <f t="shared" si="6"/>
        <v>42</v>
      </c>
      <c r="E81" s="41">
        <f t="shared" si="7"/>
        <v>41</v>
      </c>
    </row>
    <row r="82" spans="1:5" x14ac:dyDescent="0.25">
      <c r="A82" s="53"/>
      <c r="B82" s="41">
        <v>40</v>
      </c>
      <c r="C82" s="41">
        <v>6</v>
      </c>
      <c r="D82" s="41">
        <f t="shared" si="6"/>
        <v>42</v>
      </c>
      <c r="E82" s="41">
        <f t="shared" si="7"/>
        <v>41</v>
      </c>
    </row>
    <row r="83" spans="1:5" x14ac:dyDescent="0.25">
      <c r="A83" s="53"/>
      <c r="B83" s="41">
        <v>41</v>
      </c>
      <c r="C83" s="41">
        <v>6</v>
      </c>
      <c r="D83" s="41">
        <f t="shared" si="6"/>
        <v>42</v>
      </c>
      <c r="E83" s="41">
        <f t="shared" si="7"/>
        <v>42</v>
      </c>
    </row>
    <row r="84" spans="1:5" x14ac:dyDescent="0.25">
      <c r="A84" s="53"/>
      <c r="B84" s="42">
        <v>42</v>
      </c>
      <c r="C84" s="43">
        <v>6</v>
      </c>
      <c r="D84" s="43">
        <f t="shared" si="6"/>
        <v>42</v>
      </c>
      <c r="E84" s="44">
        <f t="shared" si="7"/>
        <v>42</v>
      </c>
    </row>
    <row r="85" spans="1:5" x14ac:dyDescent="0.25">
      <c r="A85" s="53"/>
      <c r="B85" s="41">
        <v>43</v>
      </c>
      <c r="C85" s="41">
        <v>6</v>
      </c>
      <c r="D85" s="41">
        <f t="shared" si="6"/>
        <v>42</v>
      </c>
      <c r="E85" s="41">
        <f t="shared" si="7"/>
        <v>43</v>
      </c>
    </row>
    <row r="86" spans="1:5" x14ac:dyDescent="0.25">
      <c r="A86" s="53"/>
      <c r="B86" s="41">
        <v>44</v>
      </c>
      <c r="C86" s="41">
        <v>6</v>
      </c>
      <c r="D86" s="41">
        <f t="shared" si="6"/>
        <v>42</v>
      </c>
      <c r="E86" s="41">
        <f t="shared" si="7"/>
        <v>43</v>
      </c>
    </row>
    <row r="87" spans="1:5" x14ac:dyDescent="0.25">
      <c r="A87" s="53"/>
      <c r="B87" s="41">
        <v>45</v>
      </c>
      <c r="C87" s="41">
        <v>6</v>
      </c>
      <c r="D87" s="41">
        <f t="shared" si="6"/>
        <v>42</v>
      </c>
      <c r="E87" s="41">
        <f t="shared" si="7"/>
        <v>44</v>
      </c>
    </row>
    <row r="88" spans="1:5" x14ac:dyDescent="0.25">
      <c r="A88" s="53"/>
      <c r="B88" s="41">
        <v>46</v>
      </c>
      <c r="C88" s="41">
        <v>6</v>
      </c>
      <c r="D88" s="41">
        <f t="shared" si="6"/>
        <v>42</v>
      </c>
      <c r="E88" s="41">
        <f t="shared" si="7"/>
        <v>44</v>
      </c>
    </row>
    <row r="89" spans="1:5" x14ac:dyDescent="0.25">
      <c r="A89" s="53"/>
      <c r="B89" s="41">
        <v>47</v>
      </c>
      <c r="C89" s="41">
        <v>6</v>
      </c>
      <c r="D89" s="41">
        <f t="shared" si="6"/>
        <v>42</v>
      </c>
      <c r="E89" s="41">
        <f t="shared" si="7"/>
        <v>45</v>
      </c>
    </row>
    <row r="90" spans="1:5" x14ac:dyDescent="0.25">
      <c r="A90" s="53"/>
      <c r="B90" s="41">
        <v>48</v>
      </c>
      <c r="C90" s="41">
        <v>6</v>
      </c>
      <c r="D90" s="41">
        <f t="shared" si="6"/>
        <v>42</v>
      </c>
      <c r="E90" s="41">
        <f t="shared" si="7"/>
        <v>45</v>
      </c>
    </row>
    <row r="91" spans="1:5" x14ac:dyDescent="0.25">
      <c r="A91" s="53"/>
      <c r="B91" s="41">
        <v>49</v>
      </c>
      <c r="C91" s="41">
        <v>6</v>
      </c>
      <c r="D91" s="41">
        <f t="shared" si="6"/>
        <v>42</v>
      </c>
      <c r="E91" s="41">
        <f t="shared" si="7"/>
        <v>46</v>
      </c>
    </row>
    <row r="92" spans="1:5" x14ac:dyDescent="0.25">
      <c r="A92" s="53" t="s">
        <v>52</v>
      </c>
      <c r="B92" s="45">
        <v>42</v>
      </c>
      <c r="C92" s="45">
        <v>7</v>
      </c>
      <c r="D92" s="45">
        <f t="shared" si="6"/>
        <v>49</v>
      </c>
      <c r="E92" s="45">
        <f t="shared" si="7"/>
        <v>46</v>
      </c>
    </row>
    <row r="93" spans="1:5" x14ac:dyDescent="0.25">
      <c r="A93" s="53"/>
      <c r="B93" s="45">
        <v>43</v>
      </c>
      <c r="C93" s="45">
        <v>7</v>
      </c>
      <c r="D93" s="45">
        <f t="shared" si="6"/>
        <v>49</v>
      </c>
      <c r="E93" s="45">
        <f t="shared" si="7"/>
        <v>46</v>
      </c>
    </row>
    <row r="94" spans="1:5" x14ac:dyDescent="0.25">
      <c r="A94" s="53"/>
      <c r="B94" s="45">
        <v>44</v>
      </c>
      <c r="C94" s="45">
        <v>7</v>
      </c>
      <c r="D94" s="45">
        <f t="shared" si="6"/>
        <v>49</v>
      </c>
      <c r="E94" s="45">
        <f t="shared" ref="E94:E100" si="8">ROUNDUP((B94+D94)/2, 0)</f>
        <v>47</v>
      </c>
    </row>
    <row r="95" spans="1:5" x14ac:dyDescent="0.25">
      <c r="A95" s="53"/>
      <c r="B95" s="45">
        <v>45</v>
      </c>
      <c r="C95" s="45">
        <v>7</v>
      </c>
      <c r="D95" s="45">
        <f t="shared" si="6"/>
        <v>49</v>
      </c>
      <c r="E95" s="45">
        <f t="shared" si="8"/>
        <v>47</v>
      </c>
    </row>
    <row r="96" spans="1:5" x14ac:dyDescent="0.25">
      <c r="A96" s="53"/>
      <c r="B96" s="45">
        <v>46</v>
      </c>
      <c r="C96" s="45">
        <v>7</v>
      </c>
      <c r="D96" s="45">
        <f t="shared" si="6"/>
        <v>49</v>
      </c>
      <c r="E96" s="45">
        <f t="shared" si="8"/>
        <v>48</v>
      </c>
    </row>
    <row r="97" spans="1:5" x14ac:dyDescent="0.25">
      <c r="A97" s="53"/>
      <c r="B97" s="45">
        <v>47</v>
      </c>
      <c r="C97" s="45">
        <v>7</v>
      </c>
      <c r="D97" s="45">
        <f t="shared" si="6"/>
        <v>49</v>
      </c>
      <c r="E97" s="45">
        <f t="shared" si="8"/>
        <v>48</v>
      </c>
    </row>
    <row r="98" spans="1:5" x14ac:dyDescent="0.25">
      <c r="A98" s="53"/>
      <c r="B98" s="45">
        <v>48</v>
      </c>
      <c r="C98" s="45">
        <v>7</v>
      </c>
      <c r="D98" s="45">
        <f t="shared" si="6"/>
        <v>49</v>
      </c>
      <c r="E98" s="45">
        <f t="shared" si="8"/>
        <v>49</v>
      </c>
    </row>
    <row r="99" spans="1:5" x14ac:dyDescent="0.25">
      <c r="A99" s="53"/>
      <c r="B99" s="45">
        <v>49</v>
      </c>
      <c r="C99" s="45">
        <v>7</v>
      </c>
      <c r="D99" s="45">
        <f t="shared" si="6"/>
        <v>49</v>
      </c>
      <c r="E99" s="45">
        <f t="shared" si="8"/>
        <v>49</v>
      </c>
    </row>
    <row r="100" spans="1:5" x14ac:dyDescent="0.25">
      <c r="A100" s="53"/>
      <c r="B100" s="46">
        <v>50</v>
      </c>
      <c r="C100" s="47">
        <v>7</v>
      </c>
      <c r="D100" s="47">
        <f t="shared" si="6"/>
        <v>49</v>
      </c>
      <c r="E100" s="48">
        <f t="shared" si="8"/>
        <v>50</v>
      </c>
    </row>
  </sheetData>
  <mergeCells count="7">
    <mergeCell ref="A2:A16"/>
    <mergeCell ref="A92:A100"/>
    <mergeCell ref="A77:A91"/>
    <mergeCell ref="A62:A76"/>
    <mergeCell ref="A47:A61"/>
    <mergeCell ref="A32:A46"/>
    <mergeCell ref="A17:A3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 Balance</vt:lpstr>
      <vt:lpstr>Bosses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Nagel</dc:creator>
  <cp:lastModifiedBy>Raymond Nagel</cp:lastModifiedBy>
  <dcterms:created xsi:type="dcterms:W3CDTF">2024-10-07T15:12:38Z</dcterms:created>
  <dcterms:modified xsi:type="dcterms:W3CDTF">2026-03-07T18:06:24Z</dcterms:modified>
</cp:coreProperties>
</file>